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mc:AlternateContent xmlns:mc="http://schemas.openxmlformats.org/markup-compatibility/2006">
    <mc:Choice Requires="x15">
      <x15ac:absPath xmlns:x15ac="http://schemas.microsoft.com/office/spreadsheetml/2010/11/ac" url="Z:\HSS2425_7.2.1.266-Official-Sensitive\Index of tables\LFS\Final\Rounded\Tables with metadata\"/>
    </mc:Choice>
  </mc:AlternateContent>
  <xr:revisionPtr revIDLastSave="0" documentId="8_{7267F724-8F51-4604-85E3-7318C4B2B04D}" xr6:coauthVersionLast="47" xr6:coauthVersionMax="47" xr10:uidLastSave="{00000000-0000-0000-0000-000000000000}"/>
  <bookViews>
    <workbookView xWindow="-98" yWindow="-98" windowWidth="21795" windowHeight="14235" xr2:uid="{00000000-000D-0000-FFFF-FFFF00000000}"/>
  </bookViews>
  <sheets>
    <sheet name="Cover_sheet" sheetId="1" r:id="rId1"/>
    <sheet name="Contents" sheetId="2" r:id="rId2"/>
    <sheet name="Notes" sheetId="3" r:id="rId3"/>
    <sheet name="Table-1" sheetId="4" r:id="rId4"/>
    <sheet name="Table-2" sheetId="5" r:id="rId5"/>
    <sheet name="Table-3" sheetId="6" r:id="rId6"/>
    <sheet name="Table-4" sheetId="7" r:id="rId7"/>
    <sheet name="Table-5"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 l="1"/>
  <c r="A11" i="2"/>
  <c r="A10" i="2"/>
  <c r="A9" i="2"/>
  <c r="A8" i="2"/>
  <c r="A7" i="2"/>
  <c r="A6" i="2"/>
  <c r="A5" i="2"/>
</calcChain>
</file>

<file path=xl/sharedStrings.xml><?xml version="1.0" encoding="utf-8"?>
<sst xmlns="http://schemas.openxmlformats.org/spreadsheetml/2006/main" count="763" uniqueCount="148">
  <si>
    <t>Self-reported workplace injuries - Summary (LFSINJSUM), Great Britain</t>
  </si>
  <si>
    <t>Source: Labour Force Survey (LFS)</t>
  </si>
  <si>
    <t>Produced by: Health and Safety Executive (HSE)</t>
  </si>
  <si>
    <t>Date published: 20 November 2025</t>
  </si>
  <si>
    <t>Next update: November 2026</t>
  </si>
  <si>
    <t>About this data:</t>
  </si>
  <si>
    <t>Data presented in these tables include:</t>
  </si>
  <si>
    <t>(2) Self-reported working days lost due to workplace injury. The figures include all working days lost from the date of the accident to the date of return to work (or current date if still off) and are expressed as full-day equivalents, to allow for variation in daily hours worked.</t>
  </si>
  <si>
    <t>Years covered:</t>
  </si>
  <si>
    <t>These tables present annual estimates for available years between 2000/01 and 2024/25.</t>
  </si>
  <si>
    <t>Data for over seven days absence injuries are only available from 2003/04. Days lost data are unavailable for 2001/02 and 2002/03 (not collected) and 2020/21 (as data collection was affected by the coronavirus pandemic).</t>
  </si>
  <si>
    <t>About the Labour Force Survey:</t>
  </si>
  <si>
    <t>The LFS is a national survey run by the Office for National Statistics of currently around 31,000 households each quarter. HSE commissions annual questions in the LFS to gain a view of work-related illness and workplace injury based on individuals perceptions. The analysis of these data presented in the tables is the sole responsibility of HSE.</t>
  </si>
  <si>
    <t>See LFS technical note for more details.</t>
  </si>
  <si>
    <t>Reweighting of LFS data:</t>
  </si>
  <si>
    <t>The 2018/19 - 2023/24 estimates were revised in November 2025, as the LFS data set was reweighted to incorporate the latest estimates of the size and composition of the UK population.</t>
  </si>
  <si>
    <t>The impact of this change on overall measures of work-related illness and workplace injuries is recorded in the revision log</t>
  </si>
  <si>
    <t>Shorthand used in this publication are:</t>
  </si>
  <si>
    <t>[U1] Sample numbers are too small to provide reliable estimates</t>
  </si>
  <si>
    <t>[U2] Comparison not available: a reliable estimate could not be calculated for one or both of the comparison values due to small sample sizes</t>
  </si>
  <si>
    <t>[Z] Comparison not applicable</t>
  </si>
  <si>
    <t>Feedback</t>
  </si>
  <si>
    <t>The HSE welcomes feedback on the uses and usefulness of the information provided.</t>
  </si>
  <si>
    <t>Email: statistics.feedback@ons.gov.uk</t>
  </si>
  <si>
    <t>Table of contents</t>
  </si>
  <si>
    <t>This worksheet contains 1 table</t>
  </si>
  <si>
    <t>Base for all tables: people working in the last 12 months, Great Britain.</t>
  </si>
  <si>
    <t>Worksheet</t>
  </si>
  <si>
    <t>Worksheet description</t>
  </si>
  <si>
    <t>Information on this dataset</t>
  </si>
  <si>
    <t>Table of contents for this dataset</t>
  </si>
  <si>
    <t>Notes</t>
  </si>
  <si>
    <t>General notes applicable to all tables</t>
  </si>
  <si>
    <t>Incidence of self-reported workplace injury</t>
  </si>
  <si>
    <t>Incidence of self-reported workplace injury with over three days absence</t>
  </si>
  <si>
    <t>Incidence of self-reported workplace injury with over seven days absence</t>
  </si>
  <si>
    <t>Working days lost and days lost per worker due to self-reported workplace injury</t>
  </si>
  <si>
    <t>Working days lost and days lost per case due to self-reported workplace injury</t>
  </si>
  <si>
    <t>These notes relate to Notes referenced in the tables and include important information to help understand the data.</t>
  </si>
  <si>
    <t>Note number</t>
  </si>
  <si>
    <t>Note text</t>
  </si>
  <si>
    <t>Link for further information</t>
  </si>
  <si>
    <t>Note 1</t>
  </si>
  <si>
    <t>Note 2</t>
  </si>
  <si>
    <t>Period column indicates the reference period. All estimates in these tables are based on annual data.</t>
  </si>
  <si>
    <t>Note 3</t>
  </si>
  <si>
    <t>See Cover_sheet, section 'Years covered' for details of years for which data available.</t>
  </si>
  <si>
    <t>Note 4</t>
  </si>
  <si>
    <t>All rows in this table have 'Level = All', meaning the data are presented for the total population (people who worked in the last 12 months) without any subgroup breakdowns.</t>
  </si>
  <si>
    <t>Note 5</t>
  </si>
  <si>
    <t>Text description of injury categories. Either all workplace injuries, over-3-day absence injuries or over-7-day absence injuries.  Over-3-day and over-7-day absence categories include all those injuries with more than three and more than seven consecutive (working and non-working) days away from work (not counting the day on which the accident happened).</t>
  </si>
  <si>
    <t>Note 6.1</t>
  </si>
  <si>
    <t>Injury incidence represents self-reported workplace injuries sustained as a result of a non-road traffic accident in the last 12 months.</t>
  </si>
  <si>
    <t>See LFS technical note for more details</t>
  </si>
  <si>
    <t>Note 6.2</t>
  </si>
  <si>
    <t>Days off work due to self-reported workplace injury. The figures include all working days lost from the date of the accident to the date of return to work (or current date if still off) and are expressed as full-day equivalents, to allow for variation in daily hours worked.</t>
  </si>
  <si>
    <t>Note 7</t>
  </si>
  <si>
    <t>Estimates are based on survey data and are therefore subject to some uncertainty. The 95% confidence interval (CI Lower - CI Upper) represents the range of values within which we are 95% confident the true value lies, in the absence of bias. This reflects the potential error that results from surveying a sample rather than the entire population.</t>
  </si>
  <si>
    <t>Note 8.0</t>
  </si>
  <si>
    <t>Incidence rates are expressed per 100,000 workers and represent the estimated number of incident cases in a group divided by the total number of workers in that group, multiplied by 100,000. This standardisation allows for comparison across groups of different sizes.</t>
  </si>
  <si>
    <t>Note 8.1</t>
  </si>
  <si>
    <t>Days lost per worker represent the estimated annual working days lost (full-day equivalent) in a group divided by the total number of full-time equivalent worker in that group. This standardisation allows for comparison across groups of different sizes.</t>
  </si>
  <si>
    <t>Note 8.2</t>
  </si>
  <si>
    <t>Days lost per case represent the estimated annual working days lost (full-day equivalent) in a group divided by the number of cases in that group. This standardisation allows for comparison across groups of different sizes.</t>
  </si>
  <si>
    <t>Note 9</t>
  </si>
  <si>
    <t>Note 10</t>
  </si>
  <si>
    <t>Column containing flag indicating estimates based on a low number of sample cases: 20-29 sample cases for incidence estimates  (flagged as [Note 12]) and 20-39 for days lost estimates  (flagged as [Note 13]). Only estimates meeting these criteria are flagged in this column; all other cells are left blank. Flagged estimates should be interpreted with caution due to their wide confidence intervals.</t>
  </si>
  <si>
    <t>Note 11.0</t>
  </si>
  <si>
    <t>Estimates for 2020/21 and to a lesser extent 2021/22 are affected by the impacts of the coronavirus pandemic. While 2019/20 falls largely outside of the pandemic period, disruption to data collection processes in early 2020 may be a contributory factor to changes in data in 2019/20. This should be considered when comparing across time periods. For more details see our reports on the impact of the coronavirus pandemic on health and safety statistics.</t>
  </si>
  <si>
    <t>See our reports on the impact of the coronavirus pandemic on health and safety statistics for more details.</t>
  </si>
  <si>
    <t>Note 11.1</t>
  </si>
  <si>
    <t>The employment data used to calculate rates includes those temporarily absent from work. In 2020/21 and (to a lesser extent) in 2021/22 the number of such workers was higher than previous years due to temporary employment schemes (e.g. furlough) introduced during the coronavirus pandemic. This has contributed to a discontinuity in injury rates.</t>
  </si>
  <si>
    <t>Note 11.2</t>
  </si>
  <si>
    <t>Working days lost estimates are not available for 2020/21 due to changes in the basis of the measures of hours worked (a temporary change in response to the coronavirus pandemic) and the impact of the coronavirus pandemic on the labour market. For 2021/22, the estimates were affected to a lesser extent by the pandemic and the basis of the measures of hours worked reverted back to in previous years enabling estimates to be produced. However, the impact of coronavirus pandemic on the 2021/22 estimates should be considered when comparing across time periods. While 2019/20 falls largely outside of the pandemic period, disruption to data collection processes in early 2020 may be a contributory factor to changes in data in 2019/20, and again the impact on the estimates should be considered when comparing across time periods. For more details see our reports on the impact of the coronavirus pandemic on health and safety statistics.</t>
  </si>
  <si>
    <t>Note 12</t>
  </si>
  <si>
    <t>Estimate based on low number of sample cases (Between 20-29) - See [Note 10]</t>
  </si>
  <si>
    <t>Note 13</t>
  </si>
  <si>
    <t>Estimate based on low number of sample cases (Between 20-39) - See [Note 10]</t>
  </si>
  <si>
    <t>Table 1: Estimated annual incidence and rates of self-reported workplace non-fatal injury</t>
  </si>
  <si>
    <t>Source: Labour Force Survey.</t>
  </si>
  <si>
    <t>Some cells refer to notes which can be found in the Notes worksheet.</t>
  </si>
  <si>
    <t>Some shorthand may be used in this table, [U1] and [U2] = unavailable, [Z] = not applicable. See shorthand table on Cover_sheet for more details.</t>
  </si>
  <si>
    <t xml:space="preserve">Sort key
[Note 1]
</t>
  </si>
  <si>
    <t xml:space="preserve">Period
[Note 2]
</t>
  </si>
  <si>
    <t xml:space="preserve">Year(s)
[Note 3]
</t>
  </si>
  <si>
    <t xml:space="preserve">Level
[Note 4]
</t>
  </si>
  <si>
    <t xml:space="preserve">Category
[Note 5]
</t>
  </si>
  <si>
    <t xml:space="preserve">Incidence: Estimate (000s)
[Note 6.1]
</t>
  </si>
  <si>
    <t xml:space="preserve">Incidence: 95% CI Lower (000s)
[Note 7]
</t>
  </si>
  <si>
    <t xml:space="preserve">Incidence: 95% CI Upper (000s)
[Note 7]
</t>
  </si>
  <si>
    <t xml:space="preserve">Incidence rate per 100,000: Estimate
[Note 8.0]
</t>
  </si>
  <si>
    <t xml:space="preserve">Incidence rate per 100,000: 95% CI Lower
[Note 7]
</t>
  </si>
  <si>
    <t xml:space="preserve">Incidence rate per 100,000: 95% CI Upper
[Note 7]
</t>
  </si>
  <si>
    <t xml:space="preserve">Statistical significance vs Previous year
[Note 9]
</t>
  </si>
  <si>
    <t xml:space="preserve">Sample size flag
[Note 10]
</t>
  </si>
  <si>
    <t>Annual</t>
  </si>
  <si>
    <t>2000/01</t>
  </si>
  <si>
    <t>All</t>
  </si>
  <si>
    <t>All workplace injuries</t>
  </si>
  <si>
    <t>[Z]</t>
  </si>
  <si>
    <t>2001/02</t>
  </si>
  <si>
    <t>No</t>
  </si>
  <si>
    <t>2002/03</t>
  </si>
  <si>
    <t>2003/04</t>
  </si>
  <si>
    <t>Lower</t>
  </si>
  <si>
    <t>2004/05</t>
  </si>
  <si>
    <t>2005/06</t>
  </si>
  <si>
    <t>2006/07</t>
  </si>
  <si>
    <t>2007/08</t>
  </si>
  <si>
    <t>2008/09</t>
  </si>
  <si>
    <t>2009/10</t>
  </si>
  <si>
    <t>2010/11</t>
  </si>
  <si>
    <t>2011/12</t>
  </si>
  <si>
    <t>2012/13</t>
  </si>
  <si>
    <t>2013/14</t>
  </si>
  <si>
    <t>2014/15</t>
  </si>
  <si>
    <t>2015/16</t>
  </si>
  <si>
    <t>2016/17</t>
  </si>
  <si>
    <t>2017/18</t>
  </si>
  <si>
    <t>2018/19</t>
  </si>
  <si>
    <t>2019/20 [Note 11.0], [Note 11.1]</t>
  </si>
  <si>
    <t>Higher</t>
  </si>
  <si>
    <t>2020/21 [Note 11.0], [Note 11.1]</t>
  </si>
  <si>
    <t>2021/22 [Note 11.0], [Note 11.1]</t>
  </si>
  <si>
    <t>2022/23</t>
  </si>
  <si>
    <t>2023/24</t>
  </si>
  <si>
    <t>2024/25</t>
  </si>
  <si>
    <t>Table 2: Estimated annual incidence and rates of self-reported workplace non-fatal injury with over three days absence</t>
  </si>
  <si>
    <t>Workplace injuries with over three day absence</t>
  </si>
  <si>
    <t>Table 3: Estimated annual incidence and rates of self-reported workplace non-fatal injury with over seven days absence</t>
  </si>
  <si>
    <t>Workplace injuries with over seven day absence</t>
  </si>
  <si>
    <t>Table 4: Estimated annual days lost (full-day equivalent) and average days lost per (full-time equivalent) worker due to workplace non-fatal injury</t>
  </si>
  <si>
    <t xml:space="preserve">Days lost: Estimate (000s)
[Note 6.2]
</t>
  </si>
  <si>
    <t xml:space="preserve">Days lost: 95% CI Lower (000s)
[Note 7]
</t>
  </si>
  <si>
    <t xml:space="preserve">Days lost: 95% CI Upper (000s)
[Note 7]
</t>
  </si>
  <si>
    <t xml:space="preserve">Days lost per worker: Estimate
[Note 8.1]
</t>
  </si>
  <si>
    <t xml:space="preserve">Days lost per worker: 95% CI Lower
[Note 7]
</t>
  </si>
  <si>
    <t xml:space="preserve">Days lost per worker: 95% CI Upper
[Note 7]
</t>
  </si>
  <si>
    <t>2019/20 [Note 11.2]</t>
  </si>
  <si>
    <t>2021/22 [Note 11.2]</t>
  </si>
  <si>
    <t>Table 5: Estimated annual days lost (full-day equivalent) and average days lost per case due to workplace non-fatal injury</t>
  </si>
  <si>
    <t xml:space="preserve">Days lost per case: Estimate
[Note 8.2]
</t>
  </si>
  <si>
    <t xml:space="preserve">Days lost per case: 95% CI Lower
[Note 7]
</t>
  </si>
  <si>
    <t xml:space="preserve">Days lost per case: 95% CI Upper
[Note 7]
</t>
  </si>
  <si>
    <t>(1) Self-reported workplace injuries: Estimates of workers sustaining injuries in workplace accidents in the last 12 months (excluding road traffic accidents). If an individual has multiple accidents, estimates are based on the most recent. Data is presented for all workplace injuries (Table-1), over-3-day absence injuries (Table-2) or over-7-day absence injuries (Table-3).  Over-3-day and over-7-day absence categories include all those injuries with more than three and more than seven consecutive (working and non-working) days away from work (not counting the day on which the accident happened).</t>
  </si>
  <si>
    <t>Statistical significance of difference in rate compared with the corresponding rate from the previous year. A difference is considered statistically significant ('higher' or 'lower') if there is less than a 5% probability that it is due to sampling error alone. Differences that are not statistically significant (marked as ‘no’) may reflect random variation rather than a true change.</t>
  </si>
  <si>
    <t>This worksheet contains 1 table.</t>
  </si>
  <si>
    <t>Sort column records the original sequence of entries in the full table. If the table has been re-sorted, you can restore the original ordering of the full table by sorting this column in ascending order. Text in this column is shown in grey to indicate that these values are not part of the main data set and are used only for sorting.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</si>
</sst>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2"/>
      <color rgb="FF000000"/>
      <name val="Arial"/>
    </font>
    <font>
      <b/>
      <sz val="14"/>
      <color rgb="FF000000"/>
      <name val="Arial"/>
      <family val="2"/>
    </font>
    <font>
      <b/>
      <sz val="12"/>
      <color rgb="FF000000"/>
      <name val="Arial"/>
      <family val="2"/>
    </font>
    <font>
      <u/>
      <sz val="12"/>
      <color theme="10"/>
      <name val="Arial"/>
      <family val="2"/>
    </font>
    <font>
      <b/>
      <sz val="16"/>
      <color rgb="FF000000"/>
      <name val="Arial"/>
      <family val="2"/>
    </font>
    <font>
      <sz val="12"/>
      <color rgb="FFA6A6A6"/>
      <name val="Arial"/>
      <family val="2"/>
    </font>
    <font>
      <sz val="12"/>
      <color rgb="FF000000"/>
      <name val="Arial"/>
      <family val="2"/>
    </font>
  </fonts>
  <fills count="3">
    <fill>
      <patternFill patternType="none"/>
    </fill>
    <fill>
      <patternFill patternType="gray125"/>
    </fill>
    <fill>
      <patternFill patternType="solid">
        <fgColor rgb="FFD9D9D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s>
  <cellStyleXfs count="1">
    <xf numFmtId="0" fontId="0" fillId="0" borderId="0"/>
  </cellStyleXfs>
  <cellXfs count="27">
    <xf numFmtId="0" fontId="0" fillId="0" borderId="0" xfId="0"/>
    <xf numFmtId="0" fontId="0" fillId="0" borderId="0" xfId="0" applyFont="1"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applyAlignment="1">
      <alignment horizontal="left"/>
    </xf>
    <xf numFmtId="0" fontId="0"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0" fillId="0" borderId="0" xfId="0" applyFont="1"/>
    <xf numFmtId="0" fontId="2" fillId="2" borderId="2" xfId="0" applyFont="1" applyFill="1" applyBorder="1" applyAlignment="1">
      <alignment horizontal="left" wrapText="1"/>
    </xf>
    <xf numFmtId="0" fontId="5" fillId="0" borderId="0" xfId="0" applyFont="1" applyAlignment="1">
      <alignment horizontal="left"/>
    </xf>
    <xf numFmtId="0" fontId="0" fillId="0" borderId="0" xfId="0" applyFont="1" applyAlignment="1">
      <alignment horizontal="right"/>
    </xf>
    <xf numFmtId="0" fontId="2" fillId="2" borderId="2" xfId="0" applyFont="1" applyFill="1" applyBorder="1" applyAlignment="1">
      <alignment horizontal="right" wrapText="1"/>
    </xf>
    <xf numFmtId="164" fontId="0" fillId="0" borderId="0" xfId="0" applyNumberFormat="1" applyFont="1" applyAlignment="1">
      <alignment horizontal="right"/>
    </xf>
    <xf numFmtId="164" fontId="2" fillId="0" borderId="0" xfId="0" applyNumberFormat="1" applyFont="1" applyAlignment="1">
      <alignment horizontal="right"/>
    </xf>
    <xf numFmtId="164" fontId="0" fillId="0" borderId="0" xfId="0" applyNumberFormat="1" applyFont="1" applyAlignment="1">
      <alignment horizontal="right"/>
    </xf>
    <xf numFmtId="164" fontId="2" fillId="0" borderId="0" xfId="0" applyNumberFormat="1" applyFont="1" applyAlignment="1">
      <alignment horizontal="right"/>
    </xf>
    <xf numFmtId="164" fontId="0" fillId="0" borderId="0" xfId="0" applyNumberFormat="1" applyFont="1" applyAlignment="1">
      <alignment horizontal="right"/>
    </xf>
    <xf numFmtId="164" fontId="2" fillId="0" borderId="0" xfId="0" applyNumberFormat="1" applyFont="1" applyAlignment="1">
      <alignment horizontal="right"/>
    </xf>
    <xf numFmtId="164" fontId="0" fillId="0" borderId="0" xfId="0" applyNumberFormat="1" applyFont="1" applyAlignment="1">
      <alignment horizontal="right"/>
    </xf>
    <xf numFmtId="0" fontId="2" fillId="0" borderId="0" xfId="0" applyFont="1" applyAlignment="1">
      <alignment horizontal="right"/>
    </xf>
    <xf numFmtId="164" fontId="2" fillId="0" borderId="0" xfId="0" applyNumberFormat="1" applyFont="1" applyAlignment="1">
      <alignment horizontal="right"/>
    </xf>
    <xf numFmtId="164" fontId="0" fillId="0" borderId="0" xfId="0" applyNumberFormat="1" applyFont="1" applyAlignment="1">
      <alignment horizontal="right"/>
    </xf>
    <xf numFmtId="164" fontId="2" fillId="0" borderId="0" xfId="0" applyNumberFormat="1" applyFont="1" applyAlignment="1">
      <alignment horizontal="right"/>
    </xf>
    <xf numFmtId="0" fontId="6" fillId="0" borderId="0" xfId="0" applyFont="1" applyAlignment="1">
      <alignment horizontal="left" wrapText="1"/>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4:B12" totalsRowShown="0">
  <tableColumns count="2">
    <tableColumn id="1" xr3:uid="{00000000-0010-0000-0000-000001000000}" name="Worksheet"/>
    <tableColumn id="2" xr3:uid="{00000000-0010-0000-0000-000002000000}" name="Worksheet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22" totalsRowShown="0">
  <tableColumns count="3">
    <tableColumn id="1" xr3:uid="{00000000-0010-0000-0100-000001000000}" name="Note number"/>
    <tableColumn id="2" xr3:uid="{00000000-0010-0000-0100-000002000000}" name="Note text"/>
    <tableColumn id="3" xr3:uid="{00000000-0010-0000-0100-000003000000}" name="Link for further informa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_1" ref="A7:M32" totalsRowShown="0">
  <tableColumns count="13">
    <tableColumn id="1" xr3:uid="{00000000-0010-0000-0200-000001000000}" name="Sort key_x000a_[Note 1]_x000a_"/>
    <tableColumn id="2" xr3:uid="{00000000-0010-0000-0200-000002000000}" name="Period_x000a_[Note 2]_x000a_"/>
    <tableColumn id="3" xr3:uid="{00000000-0010-0000-0200-000003000000}" name="Year(s)_x000a_[Note 3]_x000a_"/>
    <tableColumn id="4" xr3:uid="{00000000-0010-0000-0200-000004000000}" name="Level_x000a_[Note 4]_x000a_"/>
    <tableColumn id="5" xr3:uid="{00000000-0010-0000-0200-000005000000}" name="Category_x000a_[Note 5]_x000a_"/>
    <tableColumn id="6" xr3:uid="{00000000-0010-0000-0200-000006000000}" name="Incidence: Estimate (000s)_x000a_[Note 6.1]_x000a_"/>
    <tableColumn id="7" xr3:uid="{00000000-0010-0000-0200-000007000000}" name="Incidence: 95% CI Lower (000s)_x000a_[Note 7]_x000a_"/>
    <tableColumn id="8" xr3:uid="{00000000-0010-0000-0200-000008000000}" name="Incidence: 95% CI Upper (000s)_x000a_[Note 7]_x000a_"/>
    <tableColumn id="9" xr3:uid="{00000000-0010-0000-0200-000009000000}" name="Incidence rate per 100,000: Estimate_x000a_[Note 8.0]_x000a_"/>
    <tableColumn id="10" xr3:uid="{00000000-0010-0000-0200-00000A000000}" name="Incidence rate per 100,000: 95% CI Lower_x000a_[Note 7]_x000a_"/>
    <tableColumn id="11" xr3:uid="{00000000-0010-0000-0200-00000B000000}" name="Incidence rate per 100,000: 95% CI Upper_x000a_[Note 7]_x000a_"/>
    <tableColumn id="12" xr3:uid="{00000000-0010-0000-0200-00000C000000}" name="Statistical significance vs Previous year_x000a_[Note 9]_x000a_"/>
    <tableColumn id="13" xr3:uid="{00000000-0010-0000-0200-00000D000000}" name="Sample size flag_x000a_[Note 10]_x000a_"/>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_2" ref="A7:M32" totalsRowShown="0">
  <tableColumns count="13">
    <tableColumn id="1" xr3:uid="{00000000-0010-0000-0300-000001000000}" name="Sort key_x000a_[Note 1]_x000a_"/>
    <tableColumn id="2" xr3:uid="{00000000-0010-0000-0300-000002000000}" name="Period_x000a_[Note 2]_x000a_"/>
    <tableColumn id="3" xr3:uid="{00000000-0010-0000-0300-000003000000}" name="Year(s)_x000a_[Note 3]_x000a_"/>
    <tableColumn id="4" xr3:uid="{00000000-0010-0000-0300-000004000000}" name="Level_x000a_[Note 4]_x000a_"/>
    <tableColumn id="5" xr3:uid="{00000000-0010-0000-0300-000005000000}" name="Category_x000a_[Note 5]_x000a_"/>
    <tableColumn id="6" xr3:uid="{00000000-0010-0000-0300-000006000000}" name="Incidence: Estimate (000s)_x000a_[Note 6.1]_x000a_"/>
    <tableColumn id="7" xr3:uid="{00000000-0010-0000-0300-000007000000}" name="Incidence: 95% CI Lower (000s)_x000a_[Note 7]_x000a_"/>
    <tableColumn id="8" xr3:uid="{00000000-0010-0000-0300-000008000000}" name="Incidence: 95% CI Upper (000s)_x000a_[Note 7]_x000a_"/>
    <tableColumn id="9" xr3:uid="{00000000-0010-0000-0300-000009000000}" name="Incidence rate per 100,000: Estimate_x000a_[Note 8.0]_x000a_"/>
    <tableColumn id="10" xr3:uid="{00000000-0010-0000-0300-00000A000000}" name="Incidence rate per 100,000: 95% CI Lower_x000a_[Note 7]_x000a_"/>
    <tableColumn id="11" xr3:uid="{00000000-0010-0000-0300-00000B000000}" name="Incidence rate per 100,000: 95% CI Upper_x000a_[Note 7]_x000a_"/>
    <tableColumn id="12" xr3:uid="{00000000-0010-0000-0300-00000C000000}" name="Statistical significance vs Previous year_x000a_[Note 9]_x000a_"/>
    <tableColumn id="13" xr3:uid="{00000000-0010-0000-0300-00000D000000}" name="Sample size flag_x000a_[Note 10]_x000a_"/>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_3" ref="A7:M29" totalsRowShown="0">
  <tableColumns count="13">
    <tableColumn id="1" xr3:uid="{00000000-0010-0000-0400-000001000000}" name="Sort key_x000a_[Note 1]_x000a_"/>
    <tableColumn id="2" xr3:uid="{00000000-0010-0000-0400-000002000000}" name="Period_x000a_[Note 2]_x000a_"/>
    <tableColumn id="3" xr3:uid="{00000000-0010-0000-0400-000003000000}" name="Year(s)_x000a_[Note 3]_x000a_"/>
    <tableColumn id="4" xr3:uid="{00000000-0010-0000-0400-000004000000}" name="Level_x000a_[Note 4]_x000a_"/>
    <tableColumn id="5" xr3:uid="{00000000-0010-0000-0400-000005000000}" name="Category_x000a_[Note 5]_x000a_"/>
    <tableColumn id="6" xr3:uid="{00000000-0010-0000-0400-000006000000}" name="Incidence: Estimate (000s)_x000a_[Note 6.1]_x000a_"/>
    <tableColumn id="7" xr3:uid="{00000000-0010-0000-0400-000007000000}" name="Incidence: 95% CI Lower (000s)_x000a_[Note 7]_x000a_"/>
    <tableColumn id="8" xr3:uid="{00000000-0010-0000-0400-000008000000}" name="Incidence: 95% CI Upper (000s)_x000a_[Note 7]_x000a_"/>
    <tableColumn id="9" xr3:uid="{00000000-0010-0000-0400-000009000000}" name="Incidence rate per 100,000: Estimate_x000a_[Note 8.0]_x000a_"/>
    <tableColumn id="10" xr3:uid="{00000000-0010-0000-0400-00000A000000}" name="Incidence rate per 100,000: 95% CI Lower_x000a_[Note 7]_x000a_"/>
    <tableColumn id="11" xr3:uid="{00000000-0010-0000-0400-00000B000000}" name="Incidence rate per 100,000: 95% CI Upper_x000a_[Note 7]_x000a_"/>
    <tableColumn id="12" xr3:uid="{00000000-0010-0000-0400-00000C000000}" name="Statistical significance vs Previous year_x000a_[Note 9]_x000a_"/>
    <tableColumn id="13" xr3:uid="{00000000-0010-0000-0400-00000D000000}" name="Sample size flag_x000a_[Note 10]_x000a_"/>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_4" ref="A7:M29" totalsRowShown="0">
  <tableColumns count="13">
    <tableColumn id="1" xr3:uid="{00000000-0010-0000-0500-000001000000}" name="Sort key_x000a_[Note 1]_x000a_"/>
    <tableColumn id="2" xr3:uid="{00000000-0010-0000-0500-000002000000}" name="Period_x000a_[Note 2]_x000a_"/>
    <tableColumn id="3" xr3:uid="{00000000-0010-0000-0500-000003000000}" name="Year(s)_x000a_[Note 3]_x000a_"/>
    <tableColumn id="4" xr3:uid="{00000000-0010-0000-0500-000004000000}" name="Level_x000a_[Note 4]_x000a_"/>
    <tableColumn id="5" xr3:uid="{00000000-0010-0000-0500-000005000000}" name="Category_x000a_[Note 5]_x000a_"/>
    <tableColumn id="6" xr3:uid="{00000000-0010-0000-0500-000006000000}" name="Days lost: Estimate (000s)_x000a_[Note 6.2]_x000a_"/>
    <tableColumn id="7" xr3:uid="{00000000-0010-0000-0500-000007000000}" name="Days lost: 95% CI Lower (000s)_x000a_[Note 7]_x000a_"/>
    <tableColumn id="8" xr3:uid="{00000000-0010-0000-0500-000008000000}" name="Days lost: 95% CI Upper (000s)_x000a_[Note 7]_x000a_"/>
    <tableColumn id="9" xr3:uid="{00000000-0010-0000-0500-000009000000}" name="Days lost per worker: Estimate_x000a_[Note 8.1]_x000a_"/>
    <tableColumn id="10" xr3:uid="{00000000-0010-0000-0500-00000A000000}" name="Days lost per worker: 95% CI Lower_x000a_[Note 7]_x000a_"/>
    <tableColumn id="11" xr3:uid="{00000000-0010-0000-0500-00000B000000}" name="Days lost per worker: 95% CI Upper_x000a_[Note 7]_x000a_"/>
    <tableColumn id="12" xr3:uid="{00000000-0010-0000-0500-00000C000000}" name="Statistical significance vs Previous year_x000a_[Note 9]_x000a_"/>
    <tableColumn id="13" xr3:uid="{00000000-0010-0000-0500-00000D000000}" name="Sample size flag_x000a_[Note 10]_x000a_"/>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_5" ref="A7:M29" totalsRowShown="0">
  <tableColumns count="13">
    <tableColumn id="1" xr3:uid="{00000000-0010-0000-0600-000001000000}" name="Sort key_x000a_[Note 1]_x000a_"/>
    <tableColumn id="2" xr3:uid="{00000000-0010-0000-0600-000002000000}" name="Period_x000a_[Note 2]_x000a_"/>
    <tableColumn id="3" xr3:uid="{00000000-0010-0000-0600-000003000000}" name="Year(s)_x000a_[Note 3]_x000a_"/>
    <tableColumn id="4" xr3:uid="{00000000-0010-0000-0600-000004000000}" name="Level_x000a_[Note 4]_x000a_"/>
    <tableColumn id="5" xr3:uid="{00000000-0010-0000-0600-000005000000}" name="Category_x000a_[Note 5]_x000a_"/>
    <tableColumn id="6" xr3:uid="{00000000-0010-0000-0600-000006000000}" name="Days lost: Estimate (000s)_x000a_[Note 6.2]_x000a_"/>
    <tableColumn id="7" xr3:uid="{00000000-0010-0000-0600-000007000000}" name="Days lost: 95% CI Lower (000s)_x000a_[Note 7]_x000a_"/>
    <tableColumn id="8" xr3:uid="{00000000-0010-0000-0600-000008000000}" name="Days lost: 95% CI Upper (000s)_x000a_[Note 7]_x000a_"/>
    <tableColumn id="9" xr3:uid="{00000000-0010-0000-0600-000009000000}" name="Days lost per case: Estimate_x000a_[Note 8.2]_x000a_"/>
    <tableColumn id="10" xr3:uid="{00000000-0010-0000-0600-00000A000000}" name="Days lost per case: 95% CI Lower_x000a_[Note 7]_x000a_"/>
    <tableColumn id="11" xr3:uid="{00000000-0010-0000-0600-00000B000000}" name="Days lost per case: 95% CI Upper_x000a_[Note 7]_x000a_"/>
    <tableColumn id="12" xr3:uid="{00000000-0010-0000-0600-00000C000000}" name="Statistical significance vs Previous year_x000a_[Note 9]_x000a_"/>
    <tableColumn id="13" xr3:uid="{00000000-0010-0000-0600-00000D000000}" name="Sample size flag_x000a_[Note 10]_x000a_"/>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sFeedback@hse.gov.uk" TargetMode="External"/><Relationship Id="rId2" Type="http://schemas.openxmlformats.org/officeDocument/2006/relationships/hyperlink" Target="https://www.hse.gov.uk/statistics/about/revisions/revision-log.htm" TargetMode="External"/><Relationship Id="rId1" Type="http://schemas.openxmlformats.org/officeDocument/2006/relationships/hyperlink" Target="https://www.hse.gov.uk/statistics/lfs/technicalnote.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hse.gov.uk/statistics/coronavirus-pandemic-impact.htm" TargetMode="External"/><Relationship Id="rId3" Type="http://schemas.openxmlformats.org/officeDocument/2006/relationships/hyperlink" Target="https://www.hse.gov.uk/statistics/lfs/technicalnote.htm" TargetMode="External"/><Relationship Id="rId7" Type="http://schemas.openxmlformats.org/officeDocument/2006/relationships/hyperlink" Target="https://www.hse.gov.uk/statistics/coronavirus-pandemic-impact.htm" TargetMode="External"/><Relationship Id="rId2" Type="http://schemas.openxmlformats.org/officeDocument/2006/relationships/hyperlink" Target="https://www.hse.gov.uk/statistics/lfs/technicalnote.htm" TargetMode="External"/><Relationship Id="rId1" Type="http://schemas.openxmlformats.org/officeDocument/2006/relationships/hyperlink" Target="https://www.hse.gov.uk/statistics/lfs/technicalnote.htm" TargetMode="External"/><Relationship Id="rId6" Type="http://schemas.openxmlformats.org/officeDocument/2006/relationships/hyperlink" Target="https://www.hse.gov.uk/statistics/coronavirus-pandemic-impact.htm" TargetMode="External"/><Relationship Id="rId5" Type="http://schemas.openxmlformats.org/officeDocument/2006/relationships/hyperlink" Target="https://www.hse.gov.uk/statistics/lfs/technicalnote.htm" TargetMode="External"/><Relationship Id="rId4" Type="http://schemas.openxmlformats.org/officeDocument/2006/relationships/hyperlink" Target="https://www.hse.gov.uk/statistics/lfs/technicalnote.htm" TargetMode="Externa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tabSelected="1" workbookViewId="0"/>
  </sheetViews>
  <sheetFormatPr defaultColWidth="10.6640625" defaultRowHeight="15" x14ac:dyDescent="0.4"/>
  <cols>
    <col min="1" max="1" width="130.6640625" customWidth="1"/>
  </cols>
  <sheetData>
    <row r="1" spans="1:1" ht="30" customHeight="1" x14ac:dyDescent="0.5">
      <c r="A1" s="2" t="s">
        <v>0</v>
      </c>
    </row>
    <row r="2" spans="1:1" x14ac:dyDescent="0.4">
      <c r="A2" s="1" t="s">
        <v>1</v>
      </c>
    </row>
    <row r="3" spans="1:1" x14ac:dyDescent="0.4">
      <c r="A3" s="1" t="s">
        <v>2</v>
      </c>
    </row>
    <row r="4" spans="1:1" x14ac:dyDescent="0.4">
      <c r="A4" s="1" t="s">
        <v>3</v>
      </c>
    </row>
    <row r="5" spans="1:1" x14ac:dyDescent="0.4">
      <c r="A5" s="1" t="s">
        <v>4</v>
      </c>
    </row>
    <row r="6" spans="1:1" ht="30" customHeight="1" x14ac:dyDescent="0.5">
      <c r="A6" s="2" t="s">
        <v>5</v>
      </c>
    </row>
    <row r="7" spans="1:1" x14ac:dyDescent="0.4">
      <c r="A7" s="3" t="s">
        <v>6</v>
      </c>
    </row>
    <row r="8" spans="1:1" ht="60" x14ac:dyDescent="0.4">
      <c r="A8" s="25" t="s">
        <v>144</v>
      </c>
    </row>
    <row r="9" spans="1:1" ht="30" x14ac:dyDescent="0.4">
      <c r="A9" s="1" t="s">
        <v>7</v>
      </c>
    </row>
    <row r="10" spans="1:1" x14ac:dyDescent="0.4">
      <c r="A10" s="3" t="s">
        <v>8</v>
      </c>
    </row>
    <row r="11" spans="1:1" x14ac:dyDescent="0.4">
      <c r="A11" s="1" t="s">
        <v>9</v>
      </c>
    </row>
    <row r="12" spans="1:1" ht="30" x14ac:dyDescent="0.4">
      <c r="A12" s="1" t="s">
        <v>10</v>
      </c>
    </row>
    <row r="13" spans="1:1" x14ac:dyDescent="0.4">
      <c r="A13" s="3" t="s">
        <v>11</v>
      </c>
    </row>
    <row r="14" spans="1:1" ht="45" x14ac:dyDescent="0.4">
      <c r="A14" s="1" t="s">
        <v>12</v>
      </c>
    </row>
    <row r="15" spans="1:1" x14ac:dyDescent="0.4">
      <c r="A15" s="4" t="s">
        <v>13</v>
      </c>
    </row>
    <row r="16" spans="1:1" ht="30" customHeight="1" x14ac:dyDescent="0.5">
      <c r="A16" s="2" t="s">
        <v>14</v>
      </c>
    </row>
    <row r="17" spans="1:1" ht="30" x14ac:dyDescent="0.4">
      <c r="A17" s="1" t="s">
        <v>15</v>
      </c>
    </row>
    <row r="18" spans="1:1" x14ac:dyDescent="0.4">
      <c r="A18" s="4" t="s">
        <v>16</v>
      </c>
    </row>
    <row r="19" spans="1:1" ht="30" customHeight="1" x14ac:dyDescent="0.5">
      <c r="A19" s="2" t="s">
        <v>17</v>
      </c>
    </row>
    <row r="20" spans="1:1" x14ac:dyDescent="0.4">
      <c r="A20" s="1" t="s">
        <v>18</v>
      </c>
    </row>
    <row r="21" spans="1:1" x14ac:dyDescent="0.4">
      <c r="A21" s="1" t="s">
        <v>19</v>
      </c>
    </row>
    <row r="22" spans="1:1" x14ac:dyDescent="0.4">
      <c r="A22" s="1" t="s">
        <v>20</v>
      </c>
    </row>
    <row r="23" spans="1:1" ht="30" customHeight="1" x14ac:dyDescent="0.5">
      <c r="A23" s="2" t="s">
        <v>21</v>
      </c>
    </row>
    <row r="24" spans="1:1" x14ac:dyDescent="0.4">
      <c r="A24" s="1" t="s">
        <v>22</v>
      </c>
    </row>
    <row r="25" spans="1:1" x14ac:dyDescent="0.4">
      <c r="A25" s="4" t="s">
        <v>23</v>
      </c>
    </row>
  </sheetData>
  <hyperlinks>
    <hyperlink ref="A15" r:id="rId1" xr:uid="{00000000-0004-0000-0000-000000000000}"/>
    <hyperlink ref="A18" r:id="rId2" xr:uid="{00000000-0004-0000-0000-000001000000}"/>
    <hyperlink ref="A25" r:id="rId3" xr:uid="{00000000-0004-0000-0000-00000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sheetViews>
  <sheetFormatPr defaultColWidth="10.6640625" defaultRowHeight="15" x14ac:dyDescent="0.4"/>
  <cols>
    <col min="1" max="1" width="20.6640625" customWidth="1"/>
    <col min="2" max="2" width="80.6640625" customWidth="1"/>
  </cols>
  <sheetData>
    <row r="1" spans="1:2" ht="20.65" x14ac:dyDescent="0.6">
      <c r="A1" s="5" t="s">
        <v>24</v>
      </c>
    </row>
    <row r="2" spans="1:2" x14ac:dyDescent="0.4">
      <c r="A2" t="s">
        <v>146</v>
      </c>
    </row>
    <row r="3" spans="1:2" x14ac:dyDescent="0.4">
      <c r="A3" t="s">
        <v>26</v>
      </c>
    </row>
    <row r="4" spans="1:2" x14ac:dyDescent="0.4">
      <c r="A4" s="8" t="s">
        <v>27</v>
      </c>
      <c r="B4" s="8" t="s">
        <v>28</v>
      </c>
    </row>
    <row r="5" spans="1:2" x14ac:dyDescent="0.4">
      <c r="A5" s="7" t="str">
        <f>HYPERLINK("#'Cover_sheet'!A1", "Cover_sheet")</f>
        <v>Cover_sheet</v>
      </c>
      <c r="B5" s="6" t="s">
        <v>29</v>
      </c>
    </row>
    <row r="6" spans="1:2" x14ac:dyDescent="0.4">
      <c r="A6" s="7" t="str">
        <f>HYPERLINK("#'Contents'!A1", "Contents")</f>
        <v>Contents</v>
      </c>
      <c r="B6" s="6" t="s">
        <v>30</v>
      </c>
    </row>
    <row r="7" spans="1:2" x14ac:dyDescent="0.4">
      <c r="A7" s="7" t="str">
        <f>HYPERLINK("#'Notes'!A1", "Notes")</f>
        <v>Notes</v>
      </c>
      <c r="B7" s="6" t="s">
        <v>32</v>
      </c>
    </row>
    <row r="8" spans="1:2" x14ac:dyDescent="0.4">
      <c r="A8" s="7" t="str">
        <f>HYPERLINK("#'Table-1'!A1", "Table-1")</f>
        <v>Table-1</v>
      </c>
      <c r="B8" s="6" t="s">
        <v>33</v>
      </c>
    </row>
    <row r="9" spans="1:2" x14ac:dyDescent="0.4">
      <c r="A9" s="7" t="str">
        <f>HYPERLINK("#'Table-2'!A1", "Table-2")</f>
        <v>Table-2</v>
      </c>
      <c r="B9" s="6" t="s">
        <v>34</v>
      </c>
    </row>
    <row r="10" spans="1:2" x14ac:dyDescent="0.4">
      <c r="A10" s="7" t="str">
        <f>HYPERLINK("#'Table-3'!A1", "Table-3")</f>
        <v>Table-3</v>
      </c>
      <c r="B10" s="6" t="s">
        <v>35</v>
      </c>
    </row>
    <row r="11" spans="1:2" x14ac:dyDescent="0.4">
      <c r="A11" s="7" t="str">
        <f>HYPERLINK("#'Table-4'!A1", "Table-4")</f>
        <v>Table-4</v>
      </c>
      <c r="B11" s="6" t="s">
        <v>36</v>
      </c>
    </row>
    <row r="12" spans="1:2" x14ac:dyDescent="0.4">
      <c r="A12" s="7" t="str">
        <f>HYPERLINK("#'Table-5'!A1", "Table-5")</f>
        <v>Table-5</v>
      </c>
      <c r="B12" s="6" t="s">
        <v>37</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showGridLines="0" workbookViewId="0"/>
  </sheetViews>
  <sheetFormatPr defaultColWidth="10.6640625" defaultRowHeight="15" x14ac:dyDescent="0.4"/>
  <cols>
    <col min="1" max="1" width="20.6640625" customWidth="1"/>
    <col min="2" max="2" width="80.6640625" customWidth="1"/>
    <col min="3" max="3" width="15.6640625" customWidth="1"/>
  </cols>
  <sheetData>
    <row r="1" spans="1:3" ht="20.65" x14ac:dyDescent="0.6">
      <c r="A1" s="5" t="s">
        <v>31</v>
      </c>
    </row>
    <row r="2" spans="1:3" x14ac:dyDescent="0.4">
      <c r="A2" t="s">
        <v>25</v>
      </c>
    </row>
    <row r="3" spans="1:3" x14ac:dyDescent="0.4">
      <c r="A3" t="s">
        <v>38</v>
      </c>
    </row>
    <row r="4" spans="1:3" ht="30" x14ac:dyDescent="0.4">
      <c r="A4" s="8" t="s">
        <v>39</v>
      </c>
      <c r="B4" s="8" t="s">
        <v>40</v>
      </c>
      <c r="C4" s="8" t="s">
        <v>41</v>
      </c>
    </row>
    <row r="5" spans="1:3" ht="60" x14ac:dyDescent="0.4">
      <c r="A5" s="6" t="s">
        <v>42</v>
      </c>
      <c r="B5" s="26" t="s">
        <v>147</v>
      </c>
      <c r="C5" s="6"/>
    </row>
    <row r="6" spans="1:3" x14ac:dyDescent="0.4">
      <c r="A6" s="6" t="s">
        <v>43</v>
      </c>
      <c r="B6" s="6" t="s">
        <v>44</v>
      </c>
      <c r="C6" s="6"/>
    </row>
    <row r="7" spans="1:3" x14ac:dyDescent="0.4">
      <c r="A7" s="6" t="s">
        <v>45</v>
      </c>
      <c r="B7" s="6" t="s">
        <v>46</v>
      </c>
      <c r="C7" s="6"/>
    </row>
    <row r="8" spans="1:3" ht="30" x14ac:dyDescent="0.4">
      <c r="A8" s="6" t="s">
        <v>47</v>
      </c>
      <c r="B8" s="6" t="s">
        <v>48</v>
      </c>
      <c r="C8" s="6"/>
    </row>
    <row r="9" spans="1:3" ht="60" x14ac:dyDescent="0.4">
      <c r="A9" s="6" t="s">
        <v>49</v>
      </c>
      <c r="B9" s="6" t="s">
        <v>50</v>
      </c>
      <c r="C9" s="6"/>
    </row>
    <row r="10" spans="1:3" ht="45" x14ac:dyDescent="0.4">
      <c r="A10" s="6" t="s">
        <v>51</v>
      </c>
      <c r="B10" s="6" t="s">
        <v>52</v>
      </c>
      <c r="C10" s="7" t="s">
        <v>53</v>
      </c>
    </row>
    <row r="11" spans="1:3" ht="45" x14ac:dyDescent="0.4">
      <c r="A11" s="6" t="s">
        <v>54</v>
      </c>
      <c r="B11" s="6" t="s">
        <v>55</v>
      </c>
      <c r="C11" s="7" t="s">
        <v>53</v>
      </c>
    </row>
    <row r="12" spans="1:3" ht="60" x14ac:dyDescent="0.4">
      <c r="A12" s="6" t="s">
        <v>56</v>
      </c>
      <c r="B12" s="6" t="s">
        <v>57</v>
      </c>
      <c r="C12" s="6"/>
    </row>
    <row r="13" spans="1:3" ht="45" x14ac:dyDescent="0.4">
      <c r="A13" s="6" t="s">
        <v>58</v>
      </c>
      <c r="B13" s="6" t="s">
        <v>59</v>
      </c>
      <c r="C13" s="7" t="s">
        <v>53</v>
      </c>
    </row>
    <row r="14" spans="1:3" ht="45" x14ac:dyDescent="0.4">
      <c r="A14" s="6" t="s">
        <v>60</v>
      </c>
      <c r="B14" s="6" t="s">
        <v>61</v>
      </c>
      <c r="C14" s="7" t="s">
        <v>53</v>
      </c>
    </row>
    <row r="15" spans="1:3" ht="45" x14ac:dyDescent="0.4">
      <c r="A15" s="6" t="s">
        <v>62</v>
      </c>
      <c r="B15" s="6" t="s">
        <v>63</v>
      </c>
      <c r="C15" s="7" t="s">
        <v>53</v>
      </c>
    </row>
    <row r="16" spans="1:3" ht="60" x14ac:dyDescent="0.4">
      <c r="A16" s="6" t="s">
        <v>64</v>
      </c>
      <c r="B16" s="26" t="s">
        <v>145</v>
      </c>
      <c r="C16" s="6"/>
    </row>
    <row r="17" spans="1:3" ht="60" x14ac:dyDescent="0.4">
      <c r="A17" s="6" t="s">
        <v>65</v>
      </c>
      <c r="B17" s="6" t="s">
        <v>66</v>
      </c>
      <c r="C17" s="6"/>
    </row>
    <row r="18" spans="1:3" ht="105" x14ac:dyDescent="0.4">
      <c r="A18" s="6" t="s">
        <v>67</v>
      </c>
      <c r="B18" s="6" t="s">
        <v>68</v>
      </c>
      <c r="C18" s="7" t="s">
        <v>69</v>
      </c>
    </row>
    <row r="19" spans="1:3" ht="105" x14ac:dyDescent="0.4">
      <c r="A19" s="6" t="s">
        <v>70</v>
      </c>
      <c r="B19" s="6" t="s">
        <v>71</v>
      </c>
      <c r="C19" s="7" t="s">
        <v>69</v>
      </c>
    </row>
    <row r="20" spans="1:3" ht="150" x14ac:dyDescent="0.4">
      <c r="A20" s="6" t="s">
        <v>72</v>
      </c>
      <c r="B20" s="6" t="s">
        <v>73</v>
      </c>
      <c r="C20" s="7" t="s">
        <v>69</v>
      </c>
    </row>
    <row r="21" spans="1:3" x14ac:dyDescent="0.4">
      <c r="A21" s="6" t="s">
        <v>74</v>
      </c>
      <c r="B21" s="6" t="s">
        <v>75</v>
      </c>
      <c r="C21" s="6"/>
    </row>
    <row r="22" spans="1:3" x14ac:dyDescent="0.4">
      <c r="A22" s="6" t="s">
        <v>76</v>
      </c>
      <c r="B22" s="6" t="s">
        <v>77</v>
      </c>
      <c r="C22" s="6"/>
    </row>
  </sheetData>
  <hyperlinks>
    <hyperlink ref="C10" r:id="rId1" xr:uid="{00000000-0004-0000-0200-000000000000}"/>
    <hyperlink ref="C11" r:id="rId2" xr:uid="{00000000-0004-0000-0200-000001000000}"/>
    <hyperlink ref="C13" r:id="rId3" xr:uid="{00000000-0004-0000-0200-000002000000}"/>
    <hyperlink ref="C14" r:id="rId4" xr:uid="{00000000-0004-0000-0200-000003000000}"/>
    <hyperlink ref="C15" r:id="rId5" xr:uid="{00000000-0004-0000-0200-000004000000}"/>
    <hyperlink ref="C18" r:id="rId6" xr:uid="{00000000-0004-0000-0200-000005000000}"/>
    <hyperlink ref="C19" r:id="rId7" xr:uid="{00000000-0004-0000-0200-000006000000}"/>
    <hyperlink ref="C20" r:id="rId8" xr:uid="{00000000-0004-0000-0200-000007000000}"/>
  </hyperlinks>
  <pageMargins left="0.7" right="0.7" top="0.75" bottom="0.75" header="0.3" footer="0.3"/>
  <pageSetup paperSize="9" orientation="portrait" horizontalDpi="300" verticalDpi="300"/>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2"/>
  <sheetViews>
    <sheetView showGridLines="0" workbookViewId="0"/>
  </sheetViews>
  <sheetFormatPr defaultColWidth="10.6640625" defaultRowHeight="15" x14ac:dyDescent="0.4"/>
  <cols>
    <col min="1" max="2" width="8.6640625" customWidth="1"/>
    <col min="3" max="3" width="27.88671875" customWidth="1"/>
    <col min="4" max="4" width="12.6640625" customWidth="1"/>
    <col min="5" max="5" width="39.77734375" customWidth="1"/>
    <col min="6" max="13" width="12.6640625" customWidth="1"/>
  </cols>
  <sheetData>
    <row r="1" spans="1:13" ht="20.65" x14ac:dyDescent="0.6">
      <c r="A1" s="5" t="s">
        <v>78</v>
      </c>
    </row>
    <row r="2" spans="1:13" x14ac:dyDescent="0.4">
      <c r="A2" t="s">
        <v>146</v>
      </c>
    </row>
    <row r="3" spans="1:13" x14ac:dyDescent="0.4">
      <c r="A3" t="s">
        <v>26</v>
      </c>
    </row>
    <row r="4" spans="1:13" x14ac:dyDescent="0.4">
      <c r="A4" t="s">
        <v>79</v>
      </c>
    </row>
    <row r="5" spans="1:13" x14ac:dyDescent="0.4">
      <c r="A5" t="s">
        <v>80</v>
      </c>
    </row>
    <row r="6" spans="1:13" x14ac:dyDescent="0.4">
      <c r="A6" t="s">
        <v>81</v>
      </c>
    </row>
    <row r="7" spans="1:13" ht="90" x14ac:dyDescent="0.4">
      <c r="A7" s="10" t="s">
        <v>82</v>
      </c>
      <c r="B7" s="10" t="s">
        <v>83</v>
      </c>
      <c r="C7" s="10" t="s">
        <v>84</v>
      </c>
      <c r="D7" s="10" t="s">
        <v>85</v>
      </c>
      <c r="E7" s="10" t="s">
        <v>86</v>
      </c>
      <c r="F7" s="13" t="s">
        <v>87</v>
      </c>
      <c r="G7" s="13" t="s">
        <v>88</v>
      </c>
      <c r="H7" s="13" t="s">
        <v>89</v>
      </c>
      <c r="I7" s="13" t="s">
        <v>90</v>
      </c>
      <c r="J7" s="13" t="s">
        <v>91</v>
      </c>
      <c r="K7" s="13" t="s">
        <v>92</v>
      </c>
      <c r="L7" s="13" t="s">
        <v>93</v>
      </c>
      <c r="M7" s="13" t="s">
        <v>94</v>
      </c>
    </row>
    <row r="8" spans="1:13" x14ac:dyDescent="0.4">
      <c r="A8" s="11">
        <v>1</v>
      </c>
      <c r="B8" s="9" t="s">
        <v>95</v>
      </c>
      <c r="C8" s="9" t="s">
        <v>96</v>
      </c>
      <c r="D8" s="9" t="s">
        <v>97</v>
      </c>
      <c r="E8" s="9" t="s">
        <v>98</v>
      </c>
      <c r="F8" s="15">
        <v>1067</v>
      </c>
      <c r="G8" s="14">
        <v>1021</v>
      </c>
      <c r="H8" s="14">
        <v>1112</v>
      </c>
      <c r="I8" s="15">
        <v>3980</v>
      </c>
      <c r="J8" s="14">
        <v>3810</v>
      </c>
      <c r="K8" s="14">
        <v>4150</v>
      </c>
      <c r="L8" s="12" t="s">
        <v>99</v>
      </c>
      <c r="M8" s="12"/>
    </row>
    <row r="9" spans="1:13" x14ac:dyDescent="0.4">
      <c r="A9" s="11">
        <v>2</v>
      </c>
      <c r="B9" s="9" t="s">
        <v>95</v>
      </c>
      <c r="C9" s="9" t="s">
        <v>100</v>
      </c>
      <c r="D9" s="9" t="s">
        <v>97</v>
      </c>
      <c r="E9" s="9" t="s">
        <v>98</v>
      </c>
      <c r="F9" s="15">
        <v>1019</v>
      </c>
      <c r="G9" s="14">
        <v>974</v>
      </c>
      <c r="H9" s="14">
        <v>1063</v>
      </c>
      <c r="I9" s="15">
        <v>3780</v>
      </c>
      <c r="J9" s="14">
        <v>3620</v>
      </c>
      <c r="K9" s="14">
        <v>3940</v>
      </c>
      <c r="L9" s="12" t="s">
        <v>101</v>
      </c>
      <c r="M9" s="12"/>
    </row>
    <row r="10" spans="1:13" x14ac:dyDescent="0.4">
      <c r="A10" s="11">
        <v>3</v>
      </c>
      <c r="B10" s="9" t="s">
        <v>95</v>
      </c>
      <c r="C10" s="9" t="s">
        <v>102</v>
      </c>
      <c r="D10" s="9" t="s">
        <v>97</v>
      </c>
      <c r="E10" s="9" t="s">
        <v>98</v>
      </c>
      <c r="F10" s="15">
        <v>1031</v>
      </c>
      <c r="G10" s="14">
        <v>986</v>
      </c>
      <c r="H10" s="14">
        <v>1077</v>
      </c>
      <c r="I10" s="15">
        <v>3800</v>
      </c>
      <c r="J10" s="14">
        <v>3630</v>
      </c>
      <c r="K10" s="14">
        <v>3960</v>
      </c>
      <c r="L10" s="12" t="s">
        <v>101</v>
      </c>
      <c r="M10" s="12"/>
    </row>
    <row r="11" spans="1:13" x14ac:dyDescent="0.4">
      <c r="A11" s="11">
        <v>4</v>
      </c>
      <c r="B11" s="9" t="s">
        <v>95</v>
      </c>
      <c r="C11" s="9" t="s">
        <v>103</v>
      </c>
      <c r="D11" s="9" t="s">
        <v>97</v>
      </c>
      <c r="E11" s="9" t="s">
        <v>98</v>
      </c>
      <c r="F11" s="15">
        <v>965</v>
      </c>
      <c r="G11" s="14">
        <v>920</v>
      </c>
      <c r="H11" s="14">
        <v>1011</v>
      </c>
      <c r="I11" s="15">
        <v>3480</v>
      </c>
      <c r="J11" s="14">
        <v>3320</v>
      </c>
      <c r="K11" s="14">
        <v>3650</v>
      </c>
      <c r="L11" s="12" t="s">
        <v>104</v>
      </c>
      <c r="M11" s="12"/>
    </row>
    <row r="12" spans="1:13" x14ac:dyDescent="0.4">
      <c r="A12" s="11">
        <v>5</v>
      </c>
      <c r="B12" s="9" t="s">
        <v>95</v>
      </c>
      <c r="C12" s="9" t="s">
        <v>105</v>
      </c>
      <c r="D12" s="9" t="s">
        <v>97</v>
      </c>
      <c r="E12" s="9" t="s">
        <v>98</v>
      </c>
      <c r="F12" s="15">
        <v>897</v>
      </c>
      <c r="G12" s="14">
        <v>852</v>
      </c>
      <c r="H12" s="14">
        <v>942</v>
      </c>
      <c r="I12" s="15">
        <v>3210</v>
      </c>
      <c r="J12" s="14">
        <v>3050</v>
      </c>
      <c r="K12" s="14">
        <v>3370</v>
      </c>
      <c r="L12" s="12" t="s">
        <v>104</v>
      </c>
      <c r="M12" s="12"/>
    </row>
    <row r="13" spans="1:13" x14ac:dyDescent="0.4">
      <c r="A13" s="11">
        <v>6</v>
      </c>
      <c r="B13" s="9" t="s">
        <v>95</v>
      </c>
      <c r="C13" s="9" t="s">
        <v>106</v>
      </c>
      <c r="D13" s="9" t="s">
        <v>97</v>
      </c>
      <c r="E13" s="9" t="s">
        <v>98</v>
      </c>
      <c r="F13" s="15">
        <v>849</v>
      </c>
      <c r="G13" s="14">
        <v>805</v>
      </c>
      <c r="H13" s="14">
        <v>893</v>
      </c>
      <c r="I13" s="15">
        <v>3030</v>
      </c>
      <c r="J13" s="14">
        <v>2870</v>
      </c>
      <c r="K13" s="14">
        <v>3190</v>
      </c>
      <c r="L13" s="12" t="s">
        <v>101</v>
      </c>
      <c r="M13" s="12"/>
    </row>
    <row r="14" spans="1:13" x14ac:dyDescent="0.4">
      <c r="A14" s="11">
        <v>7</v>
      </c>
      <c r="B14" s="9" t="s">
        <v>95</v>
      </c>
      <c r="C14" s="9" t="s">
        <v>107</v>
      </c>
      <c r="D14" s="9" t="s">
        <v>97</v>
      </c>
      <c r="E14" s="9" t="s">
        <v>98</v>
      </c>
      <c r="F14" s="15">
        <v>876</v>
      </c>
      <c r="G14" s="14">
        <v>830</v>
      </c>
      <c r="H14" s="14">
        <v>922</v>
      </c>
      <c r="I14" s="15">
        <v>3100</v>
      </c>
      <c r="J14" s="14">
        <v>2940</v>
      </c>
      <c r="K14" s="14">
        <v>3260</v>
      </c>
      <c r="L14" s="12" t="s">
        <v>101</v>
      </c>
      <c r="M14" s="12"/>
    </row>
    <row r="15" spans="1:13" x14ac:dyDescent="0.4">
      <c r="A15" s="11">
        <v>8</v>
      </c>
      <c r="B15" s="9" t="s">
        <v>95</v>
      </c>
      <c r="C15" s="9" t="s">
        <v>108</v>
      </c>
      <c r="D15" s="9" t="s">
        <v>97</v>
      </c>
      <c r="E15" s="9" t="s">
        <v>98</v>
      </c>
      <c r="F15" s="15">
        <v>818</v>
      </c>
      <c r="G15" s="14">
        <v>774</v>
      </c>
      <c r="H15" s="14">
        <v>863</v>
      </c>
      <c r="I15" s="15">
        <v>2850</v>
      </c>
      <c r="J15" s="14">
        <v>2700</v>
      </c>
      <c r="K15" s="14">
        <v>3000</v>
      </c>
      <c r="L15" s="12" t="s">
        <v>104</v>
      </c>
      <c r="M15" s="12"/>
    </row>
    <row r="16" spans="1:13" x14ac:dyDescent="0.4">
      <c r="A16" s="11">
        <v>9</v>
      </c>
      <c r="B16" s="9" t="s">
        <v>95</v>
      </c>
      <c r="C16" s="9" t="s">
        <v>109</v>
      </c>
      <c r="D16" s="9" t="s">
        <v>97</v>
      </c>
      <c r="E16" s="9" t="s">
        <v>98</v>
      </c>
      <c r="F16" s="15">
        <v>729</v>
      </c>
      <c r="G16" s="14">
        <v>685</v>
      </c>
      <c r="H16" s="14">
        <v>772</v>
      </c>
      <c r="I16" s="15">
        <v>2570</v>
      </c>
      <c r="J16" s="14">
        <v>2410</v>
      </c>
      <c r="K16" s="14">
        <v>2720</v>
      </c>
      <c r="L16" s="12" t="s">
        <v>104</v>
      </c>
      <c r="M16" s="12"/>
    </row>
    <row r="17" spans="1:13" x14ac:dyDescent="0.4">
      <c r="A17" s="11">
        <v>10</v>
      </c>
      <c r="B17" s="9" t="s">
        <v>95</v>
      </c>
      <c r="C17" s="9" t="s">
        <v>110</v>
      </c>
      <c r="D17" s="9" t="s">
        <v>97</v>
      </c>
      <c r="E17" s="9" t="s">
        <v>98</v>
      </c>
      <c r="F17" s="15">
        <v>724</v>
      </c>
      <c r="G17" s="14">
        <v>679</v>
      </c>
      <c r="H17" s="14">
        <v>769</v>
      </c>
      <c r="I17" s="15">
        <v>2580</v>
      </c>
      <c r="J17" s="14">
        <v>2430</v>
      </c>
      <c r="K17" s="14">
        <v>2740</v>
      </c>
      <c r="L17" s="12" t="s">
        <v>101</v>
      </c>
      <c r="M17" s="12"/>
    </row>
    <row r="18" spans="1:13" x14ac:dyDescent="0.4">
      <c r="A18" s="11">
        <v>11</v>
      </c>
      <c r="B18" s="9" t="s">
        <v>95</v>
      </c>
      <c r="C18" s="9" t="s">
        <v>111</v>
      </c>
      <c r="D18" s="9" t="s">
        <v>97</v>
      </c>
      <c r="E18" s="9" t="s">
        <v>98</v>
      </c>
      <c r="F18" s="15">
        <v>605</v>
      </c>
      <c r="G18" s="14">
        <v>561</v>
      </c>
      <c r="H18" s="14">
        <v>649</v>
      </c>
      <c r="I18" s="15">
        <v>2130</v>
      </c>
      <c r="J18" s="14">
        <v>1970</v>
      </c>
      <c r="K18" s="14">
        <v>2280</v>
      </c>
      <c r="L18" s="12" t="s">
        <v>104</v>
      </c>
      <c r="M18" s="12"/>
    </row>
    <row r="19" spans="1:13" x14ac:dyDescent="0.4">
      <c r="A19" s="11">
        <v>12</v>
      </c>
      <c r="B19" s="9" t="s">
        <v>95</v>
      </c>
      <c r="C19" s="9" t="s">
        <v>112</v>
      </c>
      <c r="D19" s="9" t="s">
        <v>97</v>
      </c>
      <c r="E19" s="9" t="s">
        <v>98</v>
      </c>
      <c r="F19" s="15">
        <v>594</v>
      </c>
      <c r="G19" s="14">
        <v>551</v>
      </c>
      <c r="H19" s="14">
        <v>636</v>
      </c>
      <c r="I19" s="15">
        <v>2090</v>
      </c>
      <c r="J19" s="14">
        <v>1940</v>
      </c>
      <c r="K19" s="14">
        <v>2240</v>
      </c>
      <c r="L19" s="12" t="s">
        <v>101</v>
      </c>
      <c r="M19" s="12"/>
    </row>
    <row r="20" spans="1:13" x14ac:dyDescent="0.4">
      <c r="A20" s="11">
        <v>13</v>
      </c>
      <c r="B20" s="9" t="s">
        <v>95</v>
      </c>
      <c r="C20" s="9" t="s">
        <v>113</v>
      </c>
      <c r="D20" s="9" t="s">
        <v>97</v>
      </c>
      <c r="E20" s="9" t="s">
        <v>98</v>
      </c>
      <c r="F20" s="15">
        <v>647</v>
      </c>
      <c r="G20" s="14">
        <v>601</v>
      </c>
      <c r="H20" s="14">
        <v>693</v>
      </c>
      <c r="I20" s="15">
        <v>2240</v>
      </c>
      <c r="J20" s="14">
        <v>2090</v>
      </c>
      <c r="K20" s="14">
        <v>2400</v>
      </c>
      <c r="L20" s="12" t="s">
        <v>101</v>
      </c>
      <c r="M20" s="12"/>
    </row>
    <row r="21" spans="1:13" x14ac:dyDescent="0.4">
      <c r="A21" s="11">
        <v>14</v>
      </c>
      <c r="B21" s="9" t="s">
        <v>95</v>
      </c>
      <c r="C21" s="9" t="s">
        <v>114</v>
      </c>
      <c r="D21" s="9" t="s">
        <v>97</v>
      </c>
      <c r="E21" s="9" t="s">
        <v>98</v>
      </c>
      <c r="F21" s="15">
        <v>631</v>
      </c>
      <c r="G21" s="14">
        <v>584</v>
      </c>
      <c r="H21" s="14">
        <v>677</v>
      </c>
      <c r="I21" s="15">
        <v>2130</v>
      </c>
      <c r="J21" s="14">
        <v>1980</v>
      </c>
      <c r="K21" s="14">
        <v>2290</v>
      </c>
      <c r="L21" s="12" t="s">
        <v>101</v>
      </c>
      <c r="M21" s="12"/>
    </row>
    <row r="22" spans="1:13" x14ac:dyDescent="0.4">
      <c r="A22" s="11">
        <v>15</v>
      </c>
      <c r="B22" s="9" t="s">
        <v>95</v>
      </c>
      <c r="C22" s="9" t="s">
        <v>115</v>
      </c>
      <c r="D22" s="9" t="s">
        <v>97</v>
      </c>
      <c r="E22" s="9" t="s">
        <v>98</v>
      </c>
      <c r="F22" s="15">
        <v>612</v>
      </c>
      <c r="G22" s="14">
        <v>568</v>
      </c>
      <c r="H22" s="14">
        <v>657</v>
      </c>
      <c r="I22" s="15">
        <v>2030</v>
      </c>
      <c r="J22" s="14">
        <v>1880</v>
      </c>
      <c r="K22" s="14">
        <v>2180</v>
      </c>
      <c r="L22" s="12" t="s">
        <v>101</v>
      </c>
      <c r="M22" s="12"/>
    </row>
    <row r="23" spans="1:13" x14ac:dyDescent="0.4">
      <c r="A23" s="11">
        <v>16</v>
      </c>
      <c r="B23" s="9" t="s">
        <v>95</v>
      </c>
      <c r="C23" s="9" t="s">
        <v>116</v>
      </c>
      <c r="D23" s="9" t="s">
        <v>97</v>
      </c>
      <c r="E23" s="9" t="s">
        <v>98</v>
      </c>
      <c r="F23" s="15">
        <v>621</v>
      </c>
      <c r="G23" s="14">
        <v>572</v>
      </c>
      <c r="H23" s="14">
        <v>670</v>
      </c>
      <c r="I23" s="15">
        <v>2030</v>
      </c>
      <c r="J23" s="14">
        <v>1870</v>
      </c>
      <c r="K23" s="14">
        <v>2190</v>
      </c>
      <c r="L23" s="12" t="s">
        <v>101</v>
      </c>
      <c r="M23" s="12"/>
    </row>
    <row r="24" spans="1:13" x14ac:dyDescent="0.4">
      <c r="A24" s="11">
        <v>17</v>
      </c>
      <c r="B24" s="9" t="s">
        <v>95</v>
      </c>
      <c r="C24" s="9" t="s">
        <v>117</v>
      </c>
      <c r="D24" s="9" t="s">
        <v>97</v>
      </c>
      <c r="E24" s="9" t="s">
        <v>98</v>
      </c>
      <c r="F24" s="15">
        <v>609</v>
      </c>
      <c r="G24" s="14">
        <v>560</v>
      </c>
      <c r="H24" s="14">
        <v>659</v>
      </c>
      <c r="I24" s="15">
        <v>1970</v>
      </c>
      <c r="J24" s="14">
        <v>1810</v>
      </c>
      <c r="K24" s="14">
        <v>2130</v>
      </c>
      <c r="L24" s="12" t="s">
        <v>101</v>
      </c>
      <c r="M24" s="12"/>
    </row>
    <row r="25" spans="1:13" x14ac:dyDescent="0.4">
      <c r="A25" s="11">
        <v>18</v>
      </c>
      <c r="B25" s="9" t="s">
        <v>95</v>
      </c>
      <c r="C25" s="9" t="s">
        <v>118</v>
      </c>
      <c r="D25" s="9" t="s">
        <v>97</v>
      </c>
      <c r="E25" s="9" t="s">
        <v>98</v>
      </c>
      <c r="F25" s="15">
        <v>555</v>
      </c>
      <c r="G25" s="14">
        <v>508</v>
      </c>
      <c r="H25" s="14">
        <v>602</v>
      </c>
      <c r="I25" s="15">
        <v>1770</v>
      </c>
      <c r="J25" s="14">
        <v>1620</v>
      </c>
      <c r="K25" s="14">
        <v>1920</v>
      </c>
      <c r="L25" s="12" t="s">
        <v>101</v>
      </c>
      <c r="M25" s="12"/>
    </row>
    <row r="26" spans="1:13" x14ac:dyDescent="0.4">
      <c r="A26" s="11">
        <v>19</v>
      </c>
      <c r="B26" s="9" t="s">
        <v>95</v>
      </c>
      <c r="C26" s="9" t="s">
        <v>119</v>
      </c>
      <c r="D26" s="9" t="s">
        <v>97</v>
      </c>
      <c r="E26" s="9" t="s">
        <v>98</v>
      </c>
      <c r="F26" s="15">
        <v>582</v>
      </c>
      <c r="G26" s="14">
        <v>532</v>
      </c>
      <c r="H26" s="14">
        <v>632</v>
      </c>
      <c r="I26" s="15">
        <v>1830</v>
      </c>
      <c r="J26" s="14">
        <v>1670</v>
      </c>
      <c r="K26" s="14">
        <v>1990</v>
      </c>
      <c r="L26" s="12" t="s">
        <v>101</v>
      </c>
      <c r="M26" s="12"/>
    </row>
    <row r="27" spans="1:13" x14ac:dyDescent="0.4">
      <c r="A27" s="11">
        <v>20</v>
      </c>
      <c r="B27" s="9" t="s">
        <v>95</v>
      </c>
      <c r="C27" s="9" t="s">
        <v>120</v>
      </c>
      <c r="D27" s="9" t="s">
        <v>97</v>
      </c>
      <c r="E27" s="9" t="s">
        <v>98</v>
      </c>
      <c r="F27" s="15">
        <v>699</v>
      </c>
      <c r="G27" s="14">
        <v>640</v>
      </c>
      <c r="H27" s="14">
        <v>758</v>
      </c>
      <c r="I27" s="15">
        <v>2190</v>
      </c>
      <c r="J27" s="14">
        <v>2000</v>
      </c>
      <c r="K27" s="14">
        <v>2370</v>
      </c>
      <c r="L27" s="12" t="s">
        <v>121</v>
      </c>
      <c r="M27" s="12"/>
    </row>
    <row r="28" spans="1:13" x14ac:dyDescent="0.4">
      <c r="A28" s="11">
        <v>21</v>
      </c>
      <c r="B28" s="9" t="s">
        <v>95</v>
      </c>
      <c r="C28" s="9" t="s">
        <v>122</v>
      </c>
      <c r="D28" s="9" t="s">
        <v>97</v>
      </c>
      <c r="E28" s="9" t="s">
        <v>98</v>
      </c>
      <c r="F28" s="15">
        <v>451</v>
      </c>
      <c r="G28" s="14">
        <v>400</v>
      </c>
      <c r="H28" s="14">
        <v>502</v>
      </c>
      <c r="I28" s="15">
        <v>1440</v>
      </c>
      <c r="J28" s="14">
        <v>1270</v>
      </c>
      <c r="K28" s="14">
        <v>1600</v>
      </c>
      <c r="L28" s="12" t="s">
        <v>104</v>
      </c>
      <c r="M28" s="12"/>
    </row>
    <row r="29" spans="1:13" x14ac:dyDescent="0.4">
      <c r="A29" s="11">
        <v>22</v>
      </c>
      <c r="B29" s="9" t="s">
        <v>95</v>
      </c>
      <c r="C29" s="9" t="s">
        <v>123</v>
      </c>
      <c r="D29" s="9" t="s">
        <v>97</v>
      </c>
      <c r="E29" s="9" t="s">
        <v>98</v>
      </c>
      <c r="F29" s="15">
        <v>576</v>
      </c>
      <c r="G29" s="14">
        <v>516</v>
      </c>
      <c r="H29" s="14">
        <v>637</v>
      </c>
      <c r="I29" s="15">
        <v>1810</v>
      </c>
      <c r="J29" s="14">
        <v>1630</v>
      </c>
      <c r="K29" s="14">
        <v>2000</v>
      </c>
      <c r="L29" s="12" t="s">
        <v>121</v>
      </c>
      <c r="M29" s="12"/>
    </row>
    <row r="30" spans="1:13" x14ac:dyDescent="0.4">
      <c r="A30" s="11">
        <v>23</v>
      </c>
      <c r="B30" s="9" t="s">
        <v>95</v>
      </c>
      <c r="C30" s="9" t="s">
        <v>124</v>
      </c>
      <c r="D30" s="9" t="s">
        <v>97</v>
      </c>
      <c r="E30" s="9" t="s">
        <v>98</v>
      </c>
      <c r="F30" s="15">
        <v>577</v>
      </c>
      <c r="G30" s="14">
        <v>501</v>
      </c>
      <c r="H30" s="14">
        <v>652</v>
      </c>
      <c r="I30" s="15">
        <v>1780</v>
      </c>
      <c r="J30" s="14">
        <v>1550</v>
      </c>
      <c r="K30" s="14">
        <v>2020</v>
      </c>
      <c r="L30" s="12" t="s">
        <v>101</v>
      </c>
      <c r="M30" s="12"/>
    </row>
    <row r="31" spans="1:13" x14ac:dyDescent="0.4">
      <c r="A31" s="11">
        <v>24</v>
      </c>
      <c r="B31" s="9" t="s">
        <v>95</v>
      </c>
      <c r="C31" s="9" t="s">
        <v>125</v>
      </c>
      <c r="D31" s="9" t="s">
        <v>97</v>
      </c>
      <c r="E31" s="9" t="s">
        <v>98</v>
      </c>
      <c r="F31" s="15">
        <v>613</v>
      </c>
      <c r="G31" s="14">
        <v>533</v>
      </c>
      <c r="H31" s="14">
        <v>692</v>
      </c>
      <c r="I31" s="15">
        <v>1890</v>
      </c>
      <c r="J31" s="14">
        <v>1650</v>
      </c>
      <c r="K31" s="14">
        <v>2140</v>
      </c>
      <c r="L31" s="12" t="s">
        <v>101</v>
      </c>
      <c r="M31" s="12"/>
    </row>
    <row r="32" spans="1:13" x14ac:dyDescent="0.4">
      <c r="A32" s="11">
        <v>25</v>
      </c>
      <c r="B32" s="9" t="s">
        <v>95</v>
      </c>
      <c r="C32" s="9" t="s">
        <v>126</v>
      </c>
      <c r="D32" s="9" t="s">
        <v>97</v>
      </c>
      <c r="E32" s="9" t="s">
        <v>98</v>
      </c>
      <c r="F32" s="15">
        <v>680</v>
      </c>
      <c r="G32" s="14">
        <v>614</v>
      </c>
      <c r="H32" s="14">
        <v>746</v>
      </c>
      <c r="I32" s="15">
        <v>2070</v>
      </c>
      <c r="J32" s="14">
        <v>1870</v>
      </c>
      <c r="K32" s="14">
        <v>2260</v>
      </c>
      <c r="L32" s="12" t="s">
        <v>101</v>
      </c>
      <c r="M32" s="12"/>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showGridLines="0" workbookViewId="0"/>
  </sheetViews>
  <sheetFormatPr defaultColWidth="10.6640625" defaultRowHeight="15" x14ac:dyDescent="0.4"/>
  <cols>
    <col min="1" max="2" width="8.6640625" customWidth="1"/>
    <col min="3" max="3" width="27.88671875" customWidth="1"/>
    <col min="4" max="4" width="12.6640625" customWidth="1"/>
    <col min="5" max="5" width="39.77734375" customWidth="1"/>
    <col min="6" max="13" width="12.6640625" customWidth="1"/>
  </cols>
  <sheetData>
    <row r="1" spans="1:13" ht="20.65" x14ac:dyDescent="0.6">
      <c r="A1" s="5" t="s">
        <v>127</v>
      </c>
    </row>
    <row r="2" spans="1:13" x14ac:dyDescent="0.4">
      <c r="A2" t="s">
        <v>146</v>
      </c>
    </row>
    <row r="3" spans="1:13" x14ac:dyDescent="0.4">
      <c r="A3" t="s">
        <v>26</v>
      </c>
    </row>
    <row r="4" spans="1:13" x14ac:dyDescent="0.4">
      <c r="A4" t="s">
        <v>79</v>
      </c>
    </row>
    <row r="5" spans="1:13" x14ac:dyDescent="0.4">
      <c r="A5" t="s">
        <v>80</v>
      </c>
    </row>
    <row r="6" spans="1:13" x14ac:dyDescent="0.4">
      <c r="A6" t="s">
        <v>81</v>
      </c>
    </row>
    <row r="7" spans="1:13" ht="90" x14ac:dyDescent="0.4">
      <c r="A7" s="10" t="s">
        <v>82</v>
      </c>
      <c r="B7" s="10" t="s">
        <v>83</v>
      </c>
      <c r="C7" s="10" t="s">
        <v>84</v>
      </c>
      <c r="D7" s="10" t="s">
        <v>85</v>
      </c>
      <c r="E7" s="10" t="s">
        <v>86</v>
      </c>
      <c r="F7" s="13" t="s">
        <v>87</v>
      </c>
      <c r="G7" s="13" t="s">
        <v>88</v>
      </c>
      <c r="H7" s="13" t="s">
        <v>89</v>
      </c>
      <c r="I7" s="13" t="s">
        <v>90</v>
      </c>
      <c r="J7" s="13" t="s">
        <v>91</v>
      </c>
      <c r="K7" s="13" t="s">
        <v>92</v>
      </c>
      <c r="L7" s="13" t="s">
        <v>93</v>
      </c>
      <c r="M7" s="13" t="s">
        <v>94</v>
      </c>
    </row>
    <row r="8" spans="1:13" x14ac:dyDescent="0.4">
      <c r="A8" s="11">
        <v>1</v>
      </c>
      <c r="B8" s="9" t="s">
        <v>95</v>
      </c>
      <c r="C8" s="9" t="s">
        <v>96</v>
      </c>
      <c r="D8" s="9" t="s">
        <v>97</v>
      </c>
      <c r="E8" s="9" t="s">
        <v>128</v>
      </c>
      <c r="F8" s="17">
        <v>406</v>
      </c>
      <c r="G8" s="16">
        <v>377</v>
      </c>
      <c r="H8" s="16">
        <v>434</v>
      </c>
      <c r="I8" s="17">
        <v>1520</v>
      </c>
      <c r="J8" s="16">
        <v>1410</v>
      </c>
      <c r="K8" s="16">
        <v>1620</v>
      </c>
      <c r="L8" s="12" t="s">
        <v>99</v>
      </c>
      <c r="M8" s="12"/>
    </row>
    <row r="9" spans="1:13" x14ac:dyDescent="0.4">
      <c r="A9" s="11">
        <v>2</v>
      </c>
      <c r="B9" s="9" t="s">
        <v>95</v>
      </c>
      <c r="C9" s="9" t="s">
        <v>100</v>
      </c>
      <c r="D9" s="9" t="s">
        <v>97</v>
      </c>
      <c r="E9" s="9" t="s">
        <v>128</v>
      </c>
      <c r="F9" s="17">
        <v>406</v>
      </c>
      <c r="G9" s="16">
        <v>378</v>
      </c>
      <c r="H9" s="16">
        <v>433</v>
      </c>
      <c r="I9" s="17">
        <v>1510</v>
      </c>
      <c r="J9" s="16">
        <v>1400</v>
      </c>
      <c r="K9" s="16">
        <v>1610</v>
      </c>
      <c r="L9" s="12" t="s">
        <v>101</v>
      </c>
      <c r="M9" s="12"/>
    </row>
    <row r="10" spans="1:13" x14ac:dyDescent="0.4">
      <c r="A10" s="11">
        <v>3</v>
      </c>
      <c r="B10" s="9" t="s">
        <v>95</v>
      </c>
      <c r="C10" s="9" t="s">
        <v>102</v>
      </c>
      <c r="D10" s="9" t="s">
        <v>97</v>
      </c>
      <c r="E10" s="9" t="s">
        <v>128</v>
      </c>
      <c r="F10" s="17">
        <v>405</v>
      </c>
      <c r="G10" s="16">
        <v>377</v>
      </c>
      <c r="H10" s="16">
        <v>434</v>
      </c>
      <c r="I10" s="17">
        <v>1490</v>
      </c>
      <c r="J10" s="16">
        <v>1390</v>
      </c>
      <c r="K10" s="16">
        <v>1600</v>
      </c>
      <c r="L10" s="12" t="s">
        <v>101</v>
      </c>
      <c r="M10" s="12"/>
    </row>
    <row r="11" spans="1:13" x14ac:dyDescent="0.4">
      <c r="A11" s="11">
        <v>4</v>
      </c>
      <c r="B11" s="9" t="s">
        <v>95</v>
      </c>
      <c r="C11" s="9" t="s">
        <v>103</v>
      </c>
      <c r="D11" s="9" t="s">
        <v>97</v>
      </c>
      <c r="E11" s="9" t="s">
        <v>128</v>
      </c>
      <c r="F11" s="17">
        <v>365</v>
      </c>
      <c r="G11" s="16">
        <v>337</v>
      </c>
      <c r="H11" s="16">
        <v>392</v>
      </c>
      <c r="I11" s="17">
        <v>1320</v>
      </c>
      <c r="J11" s="16">
        <v>1220</v>
      </c>
      <c r="K11" s="16">
        <v>1420</v>
      </c>
      <c r="L11" s="12" t="s">
        <v>104</v>
      </c>
      <c r="M11" s="12"/>
    </row>
    <row r="12" spans="1:13" x14ac:dyDescent="0.4">
      <c r="A12" s="11">
        <v>5</v>
      </c>
      <c r="B12" s="9" t="s">
        <v>95</v>
      </c>
      <c r="C12" s="9" t="s">
        <v>105</v>
      </c>
      <c r="D12" s="9" t="s">
        <v>97</v>
      </c>
      <c r="E12" s="9" t="s">
        <v>128</v>
      </c>
      <c r="F12" s="17">
        <v>335</v>
      </c>
      <c r="G12" s="16">
        <v>308</v>
      </c>
      <c r="H12" s="16">
        <v>362</v>
      </c>
      <c r="I12" s="17">
        <v>1200</v>
      </c>
      <c r="J12" s="16">
        <v>1100</v>
      </c>
      <c r="K12" s="16">
        <v>1300</v>
      </c>
      <c r="L12" s="12" t="s">
        <v>101</v>
      </c>
      <c r="M12" s="12"/>
    </row>
    <row r="13" spans="1:13" x14ac:dyDescent="0.4">
      <c r="A13" s="11">
        <v>6</v>
      </c>
      <c r="B13" s="9" t="s">
        <v>95</v>
      </c>
      <c r="C13" s="9" t="s">
        <v>106</v>
      </c>
      <c r="D13" s="9" t="s">
        <v>97</v>
      </c>
      <c r="E13" s="9" t="s">
        <v>128</v>
      </c>
      <c r="F13" s="17">
        <v>305</v>
      </c>
      <c r="G13" s="16">
        <v>278</v>
      </c>
      <c r="H13" s="16">
        <v>331</v>
      </c>
      <c r="I13" s="17">
        <v>1090</v>
      </c>
      <c r="J13" s="16">
        <v>1000</v>
      </c>
      <c r="K13" s="16">
        <v>1180</v>
      </c>
      <c r="L13" s="12" t="s">
        <v>101</v>
      </c>
      <c r="M13" s="12"/>
    </row>
    <row r="14" spans="1:13" x14ac:dyDescent="0.4">
      <c r="A14" s="11">
        <v>7</v>
      </c>
      <c r="B14" s="9" t="s">
        <v>95</v>
      </c>
      <c r="C14" s="9" t="s">
        <v>107</v>
      </c>
      <c r="D14" s="9" t="s">
        <v>97</v>
      </c>
      <c r="E14" s="9" t="s">
        <v>128</v>
      </c>
      <c r="F14" s="17">
        <v>282</v>
      </c>
      <c r="G14" s="16">
        <v>256</v>
      </c>
      <c r="H14" s="16">
        <v>307</v>
      </c>
      <c r="I14" s="17">
        <v>1000</v>
      </c>
      <c r="J14" s="16">
        <v>910</v>
      </c>
      <c r="K14" s="16">
        <v>1090</v>
      </c>
      <c r="L14" s="12" t="s">
        <v>101</v>
      </c>
      <c r="M14" s="12"/>
    </row>
    <row r="15" spans="1:13" x14ac:dyDescent="0.4">
      <c r="A15" s="11">
        <v>8</v>
      </c>
      <c r="B15" s="9" t="s">
        <v>95</v>
      </c>
      <c r="C15" s="9" t="s">
        <v>108</v>
      </c>
      <c r="D15" s="9" t="s">
        <v>97</v>
      </c>
      <c r="E15" s="9" t="s">
        <v>128</v>
      </c>
      <c r="F15" s="17">
        <v>299</v>
      </c>
      <c r="G15" s="16">
        <v>272</v>
      </c>
      <c r="H15" s="16">
        <v>326</v>
      </c>
      <c r="I15" s="17">
        <v>1040</v>
      </c>
      <c r="J15" s="16">
        <v>950</v>
      </c>
      <c r="K15" s="16">
        <v>1140</v>
      </c>
      <c r="L15" s="12" t="s">
        <v>101</v>
      </c>
      <c r="M15" s="12"/>
    </row>
    <row r="16" spans="1:13" x14ac:dyDescent="0.4">
      <c r="A16" s="11">
        <v>9</v>
      </c>
      <c r="B16" s="9" t="s">
        <v>95</v>
      </c>
      <c r="C16" s="9" t="s">
        <v>109</v>
      </c>
      <c r="D16" s="9" t="s">
        <v>97</v>
      </c>
      <c r="E16" s="9" t="s">
        <v>128</v>
      </c>
      <c r="F16" s="17">
        <v>247</v>
      </c>
      <c r="G16" s="16">
        <v>222</v>
      </c>
      <c r="H16" s="16">
        <v>272</v>
      </c>
      <c r="I16" s="17">
        <v>870</v>
      </c>
      <c r="J16" s="16">
        <v>780</v>
      </c>
      <c r="K16" s="16">
        <v>960</v>
      </c>
      <c r="L16" s="12" t="s">
        <v>104</v>
      </c>
      <c r="M16" s="12"/>
    </row>
    <row r="17" spans="1:13" x14ac:dyDescent="0.4">
      <c r="A17" s="11">
        <v>10</v>
      </c>
      <c r="B17" s="9" t="s">
        <v>95</v>
      </c>
      <c r="C17" s="9" t="s">
        <v>110</v>
      </c>
      <c r="D17" s="9" t="s">
        <v>97</v>
      </c>
      <c r="E17" s="9" t="s">
        <v>128</v>
      </c>
      <c r="F17" s="17">
        <v>233</v>
      </c>
      <c r="G17" s="16">
        <v>208</v>
      </c>
      <c r="H17" s="16">
        <v>258</v>
      </c>
      <c r="I17" s="17">
        <v>830</v>
      </c>
      <c r="J17" s="16">
        <v>740</v>
      </c>
      <c r="K17" s="16">
        <v>920</v>
      </c>
      <c r="L17" s="12" t="s">
        <v>101</v>
      </c>
      <c r="M17" s="12"/>
    </row>
    <row r="18" spans="1:13" x14ac:dyDescent="0.4">
      <c r="A18" s="11">
        <v>11</v>
      </c>
      <c r="B18" s="9" t="s">
        <v>95</v>
      </c>
      <c r="C18" s="9" t="s">
        <v>111</v>
      </c>
      <c r="D18" s="9" t="s">
        <v>97</v>
      </c>
      <c r="E18" s="9" t="s">
        <v>128</v>
      </c>
      <c r="F18" s="17">
        <v>201</v>
      </c>
      <c r="G18" s="16">
        <v>176</v>
      </c>
      <c r="H18" s="16">
        <v>225</v>
      </c>
      <c r="I18" s="17">
        <v>710</v>
      </c>
      <c r="J18" s="16">
        <v>620</v>
      </c>
      <c r="K18" s="16">
        <v>790</v>
      </c>
      <c r="L18" s="12" t="s">
        <v>104</v>
      </c>
      <c r="M18" s="12"/>
    </row>
    <row r="19" spans="1:13" x14ac:dyDescent="0.4">
      <c r="A19" s="11">
        <v>12</v>
      </c>
      <c r="B19" s="9" t="s">
        <v>95</v>
      </c>
      <c r="C19" s="9" t="s">
        <v>112</v>
      </c>
      <c r="D19" s="9" t="s">
        <v>97</v>
      </c>
      <c r="E19" s="9" t="s">
        <v>128</v>
      </c>
      <c r="F19" s="17">
        <v>214</v>
      </c>
      <c r="G19" s="16">
        <v>189</v>
      </c>
      <c r="H19" s="16">
        <v>240</v>
      </c>
      <c r="I19" s="17">
        <v>750</v>
      </c>
      <c r="J19" s="16">
        <v>660</v>
      </c>
      <c r="K19" s="16">
        <v>840</v>
      </c>
      <c r="L19" s="12" t="s">
        <v>101</v>
      </c>
      <c r="M19" s="12"/>
    </row>
    <row r="20" spans="1:13" x14ac:dyDescent="0.4">
      <c r="A20" s="11">
        <v>13</v>
      </c>
      <c r="B20" s="9" t="s">
        <v>95</v>
      </c>
      <c r="C20" s="9" t="s">
        <v>113</v>
      </c>
      <c r="D20" s="9" t="s">
        <v>97</v>
      </c>
      <c r="E20" s="9" t="s">
        <v>128</v>
      </c>
      <c r="F20" s="17">
        <v>232</v>
      </c>
      <c r="G20" s="16">
        <v>204</v>
      </c>
      <c r="H20" s="16">
        <v>259</v>
      </c>
      <c r="I20" s="17">
        <v>800</v>
      </c>
      <c r="J20" s="16">
        <v>710</v>
      </c>
      <c r="K20" s="16">
        <v>900</v>
      </c>
      <c r="L20" s="12" t="s">
        <v>101</v>
      </c>
      <c r="M20" s="12"/>
    </row>
    <row r="21" spans="1:13" x14ac:dyDescent="0.4">
      <c r="A21" s="11">
        <v>14</v>
      </c>
      <c r="B21" s="9" t="s">
        <v>95</v>
      </c>
      <c r="C21" s="9" t="s">
        <v>114</v>
      </c>
      <c r="D21" s="9" t="s">
        <v>97</v>
      </c>
      <c r="E21" s="9" t="s">
        <v>128</v>
      </c>
      <c r="F21" s="17">
        <v>203</v>
      </c>
      <c r="G21" s="16">
        <v>178</v>
      </c>
      <c r="H21" s="16">
        <v>228</v>
      </c>
      <c r="I21" s="17">
        <v>690</v>
      </c>
      <c r="J21" s="16">
        <v>600</v>
      </c>
      <c r="K21" s="16">
        <v>770</v>
      </c>
      <c r="L21" s="12" t="s">
        <v>101</v>
      </c>
      <c r="M21" s="12"/>
    </row>
    <row r="22" spans="1:13" x14ac:dyDescent="0.4">
      <c r="A22" s="11">
        <v>15</v>
      </c>
      <c r="B22" s="9" t="s">
        <v>95</v>
      </c>
      <c r="C22" s="9" t="s">
        <v>115</v>
      </c>
      <c r="D22" s="9" t="s">
        <v>97</v>
      </c>
      <c r="E22" s="9" t="s">
        <v>128</v>
      </c>
      <c r="F22" s="17">
        <v>199</v>
      </c>
      <c r="G22" s="16">
        <v>174</v>
      </c>
      <c r="H22" s="16">
        <v>224</v>
      </c>
      <c r="I22" s="17">
        <v>660</v>
      </c>
      <c r="J22" s="16">
        <v>580</v>
      </c>
      <c r="K22" s="16">
        <v>740</v>
      </c>
      <c r="L22" s="12" t="s">
        <v>101</v>
      </c>
      <c r="M22" s="12"/>
    </row>
    <row r="23" spans="1:13" x14ac:dyDescent="0.4">
      <c r="A23" s="11">
        <v>16</v>
      </c>
      <c r="B23" s="9" t="s">
        <v>95</v>
      </c>
      <c r="C23" s="9" t="s">
        <v>116</v>
      </c>
      <c r="D23" s="9" t="s">
        <v>97</v>
      </c>
      <c r="E23" s="9" t="s">
        <v>128</v>
      </c>
      <c r="F23" s="17">
        <v>200</v>
      </c>
      <c r="G23" s="16">
        <v>173</v>
      </c>
      <c r="H23" s="16">
        <v>228</v>
      </c>
      <c r="I23" s="17">
        <v>650</v>
      </c>
      <c r="J23" s="16">
        <v>570</v>
      </c>
      <c r="K23" s="16">
        <v>740</v>
      </c>
      <c r="L23" s="12" t="s">
        <v>101</v>
      </c>
      <c r="M23" s="12"/>
    </row>
    <row r="24" spans="1:13" x14ac:dyDescent="0.4">
      <c r="A24" s="11">
        <v>17</v>
      </c>
      <c r="B24" s="9" t="s">
        <v>95</v>
      </c>
      <c r="C24" s="9" t="s">
        <v>117</v>
      </c>
      <c r="D24" s="9" t="s">
        <v>97</v>
      </c>
      <c r="E24" s="9" t="s">
        <v>128</v>
      </c>
      <c r="F24" s="17">
        <v>228</v>
      </c>
      <c r="G24" s="16">
        <v>198</v>
      </c>
      <c r="H24" s="16">
        <v>258</v>
      </c>
      <c r="I24" s="17">
        <v>740</v>
      </c>
      <c r="J24" s="16">
        <v>640</v>
      </c>
      <c r="K24" s="16">
        <v>830</v>
      </c>
      <c r="L24" s="12" t="s">
        <v>101</v>
      </c>
      <c r="M24" s="12"/>
    </row>
    <row r="25" spans="1:13" x14ac:dyDescent="0.4">
      <c r="A25" s="11">
        <v>18</v>
      </c>
      <c r="B25" s="9" t="s">
        <v>95</v>
      </c>
      <c r="C25" s="9" t="s">
        <v>118</v>
      </c>
      <c r="D25" s="9" t="s">
        <v>97</v>
      </c>
      <c r="E25" s="9" t="s">
        <v>128</v>
      </c>
      <c r="F25" s="17">
        <v>170</v>
      </c>
      <c r="G25" s="16">
        <v>144</v>
      </c>
      <c r="H25" s="16">
        <v>195</v>
      </c>
      <c r="I25" s="17">
        <v>540</v>
      </c>
      <c r="J25" s="16">
        <v>460</v>
      </c>
      <c r="K25" s="16">
        <v>620</v>
      </c>
      <c r="L25" s="12" t="s">
        <v>104</v>
      </c>
      <c r="M25" s="12"/>
    </row>
    <row r="26" spans="1:13" x14ac:dyDescent="0.4">
      <c r="A26" s="11">
        <v>19</v>
      </c>
      <c r="B26" s="9" t="s">
        <v>95</v>
      </c>
      <c r="C26" s="9" t="s">
        <v>119</v>
      </c>
      <c r="D26" s="9" t="s">
        <v>97</v>
      </c>
      <c r="E26" s="9" t="s">
        <v>128</v>
      </c>
      <c r="F26" s="17">
        <v>183</v>
      </c>
      <c r="G26" s="16">
        <v>155</v>
      </c>
      <c r="H26" s="16">
        <v>211</v>
      </c>
      <c r="I26" s="17">
        <v>580</v>
      </c>
      <c r="J26" s="16">
        <v>490</v>
      </c>
      <c r="K26" s="16">
        <v>660</v>
      </c>
      <c r="L26" s="12" t="s">
        <v>101</v>
      </c>
      <c r="M26" s="12"/>
    </row>
    <row r="27" spans="1:13" x14ac:dyDescent="0.4">
      <c r="A27" s="11">
        <v>20</v>
      </c>
      <c r="B27" s="9" t="s">
        <v>95</v>
      </c>
      <c r="C27" s="9" t="s">
        <v>120</v>
      </c>
      <c r="D27" s="9" t="s">
        <v>97</v>
      </c>
      <c r="E27" s="9" t="s">
        <v>128</v>
      </c>
      <c r="F27" s="17">
        <v>221</v>
      </c>
      <c r="G27" s="16">
        <v>188</v>
      </c>
      <c r="H27" s="16">
        <v>254</v>
      </c>
      <c r="I27" s="17">
        <v>690</v>
      </c>
      <c r="J27" s="16">
        <v>590</v>
      </c>
      <c r="K27" s="16">
        <v>790</v>
      </c>
      <c r="L27" s="12" t="s">
        <v>101</v>
      </c>
      <c r="M27" s="12"/>
    </row>
    <row r="28" spans="1:13" x14ac:dyDescent="0.4">
      <c r="A28" s="11">
        <v>21</v>
      </c>
      <c r="B28" s="9" t="s">
        <v>95</v>
      </c>
      <c r="C28" s="9" t="s">
        <v>122</v>
      </c>
      <c r="D28" s="9" t="s">
        <v>97</v>
      </c>
      <c r="E28" s="9" t="s">
        <v>128</v>
      </c>
      <c r="F28" s="17">
        <v>150</v>
      </c>
      <c r="G28" s="16">
        <v>121</v>
      </c>
      <c r="H28" s="16">
        <v>180</v>
      </c>
      <c r="I28" s="17">
        <v>480</v>
      </c>
      <c r="J28" s="16">
        <v>390</v>
      </c>
      <c r="K28" s="16">
        <v>570</v>
      </c>
      <c r="L28" s="12" t="s">
        <v>104</v>
      </c>
      <c r="M28" s="12"/>
    </row>
    <row r="29" spans="1:13" x14ac:dyDescent="0.4">
      <c r="A29" s="11">
        <v>22</v>
      </c>
      <c r="B29" s="9" t="s">
        <v>95</v>
      </c>
      <c r="C29" s="9" t="s">
        <v>123</v>
      </c>
      <c r="D29" s="9" t="s">
        <v>97</v>
      </c>
      <c r="E29" s="9" t="s">
        <v>128</v>
      </c>
      <c r="F29" s="17">
        <v>196</v>
      </c>
      <c r="G29" s="16">
        <v>161</v>
      </c>
      <c r="H29" s="16">
        <v>232</v>
      </c>
      <c r="I29" s="17">
        <v>620</v>
      </c>
      <c r="J29" s="16">
        <v>510</v>
      </c>
      <c r="K29" s="16">
        <v>730</v>
      </c>
      <c r="L29" s="12" t="s">
        <v>101</v>
      </c>
      <c r="M29" s="12"/>
    </row>
    <row r="30" spans="1:13" x14ac:dyDescent="0.4">
      <c r="A30" s="11">
        <v>23</v>
      </c>
      <c r="B30" s="9" t="s">
        <v>95</v>
      </c>
      <c r="C30" s="9" t="s">
        <v>124</v>
      </c>
      <c r="D30" s="9" t="s">
        <v>97</v>
      </c>
      <c r="E30" s="9" t="s">
        <v>128</v>
      </c>
      <c r="F30" s="17">
        <v>175</v>
      </c>
      <c r="G30" s="16">
        <v>134</v>
      </c>
      <c r="H30" s="16">
        <v>215</v>
      </c>
      <c r="I30" s="17">
        <v>540</v>
      </c>
      <c r="J30" s="16">
        <v>410</v>
      </c>
      <c r="K30" s="16">
        <v>670</v>
      </c>
      <c r="L30" s="12" t="s">
        <v>101</v>
      </c>
      <c r="M30" s="12"/>
    </row>
    <row r="31" spans="1:13" x14ac:dyDescent="0.4">
      <c r="A31" s="11">
        <v>24</v>
      </c>
      <c r="B31" s="9" t="s">
        <v>95</v>
      </c>
      <c r="C31" s="9" t="s">
        <v>125</v>
      </c>
      <c r="D31" s="9" t="s">
        <v>97</v>
      </c>
      <c r="E31" s="9" t="s">
        <v>128</v>
      </c>
      <c r="F31" s="17">
        <v>183</v>
      </c>
      <c r="G31" s="16">
        <v>141</v>
      </c>
      <c r="H31" s="16">
        <v>224</v>
      </c>
      <c r="I31" s="17">
        <v>560</v>
      </c>
      <c r="J31" s="16">
        <v>440</v>
      </c>
      <c r="K31" s="16">
        <v>690</v>
      </c>
      <c r="L31" s="12" t="s">
        <v>101</v>
      </c>
      <c r="M31" s="12"/>
    </row>
    <row r="32" spans="1:13" x14ac:dyDescent="0.4">
      <c r="A32" s="11">
        <v>25</v>
      </c>
      <c r="B32" s="9" t="s">
        <v>95</v>
      </c>
      <c r="C32" s="9" t="s">
        <v>126</v>
      </c>
      <c r="D32" s="9" t="s">
        <v>97</v>
      </c>
      <c r="E32" s="9" t="s">
        <v>128</v>
      </c>
      <c r="F32" s="17">
        <v>188</v>
      </c>
      <c r="G32" s="16">
        <v>154</v>
      </c>
      <c r="H32" s="16">
        <v>222</v>
      </c>
      <c r="I32" s="17">
        <v>570</v>
      </c>
      <c r="J32" s="16">
        <v>470</v>
      </c>
      <c r="K32" s="16">
        <v>670</v>
      </c>
      <c r="L32" s="12" t="s">
        <v>101</v>
      </c>
      <c r="M32" s="12"/>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9"/>
  <sheetViews>
    <sheetView showGridLines="0" workbookViewId="0"/>
  </sheetViews>
  <sheetFormatPr defaultColWidth="10.6640625" defaultRowHeight="15" x14ac:dyDescent="0.4"/>
  <cols>
    <col min="1" max="2" width="8.6640625" customWidth="1"/>
    <col min="3" max="3" width="27.88671875" customWidth="1"/>
    <col min="4" max="4" width="12.6640625" customWidth="1"/>
    <col min="5" max="5" width="39.77734375" customWidth="1"/>
    <col min="6" max="13" width="12.6640625" customWidth="1"/>
  </cols>
  <sheetData>
    <row r="1" spans="1:13" ht="20.65" x14ac:dyDescent="0.6">
      <c r="A1" s="5" t="s">
        <v>129</v>
      </c>
    </row>
    <row r="2" spans="1:13" x14ac:dyDescent="0.4">
      <c r="A2" t="s">
        <v>146</v>
      </c>
    </row>
    <row r="3" spans="1:13" x14ac:dyDescent="0.4">
      <c r="A3" t="s">
        <v>26</v>
      </c>
    </row>
    <row r="4" spans="1:13" x14ac:dyDescent="0.4">
      <c r="A4" t="s">
        <v>79</v>
      </c>
    </row>
    <row r="5" spans="1:13" x14ac:dyDescent="0.4">
      <c r="A5" t="s">
        <v>80</v>
      </c>
    </row>
    <row r="6" spans="1:13" x14ac:dyDescent="0.4">
      <c r="A6" t="s">
        <v>81</v>
      </c>
    </row>
    <row r="7" spans="1:13" ht="90" x14ac:dyDescent="0.4">
      <c r="A7" s="10" t="s">
        <v>82</v>
      </c>
      <c r="B7" s="10" t="s">
        <v>83</v>
      </c>
      <c r="C7" s="10" t="s">
        <v>84</v>
      </c>
      <c r="D7" s="10" t="s">
        <v>85</v>
      </c>
      <c r="E7" s="10" t="s">
        <v>86</v>
      </c>
      <c r="F7" s="13" t="s">
        <v>87</v>
      </c>
      <c r="G7" s="13" t="s">
        <v>88</v>
      </c>
      <c r="H7" s="13" t="s">
        <v>89</v>
      </c>
      <c r="I7" s="13" t="s">
        <v>90</v>
      </c>
      <c r="J7" s="13" t="s">
        <v>91</v>
      </c>
      <c r="K7" s="13" t="s">
        <v>92</v>
      </c>
      <c r="L7" s="13" t="s">
        <v>93</v>
      </c>
      <c r="M7" s="13" t="s">
        <v>94</v>
      </c>
    </row>
    <row r="8" spans="1:13" x14ac:dyDescent="0.4">
      <c r="A8" s="11">
        <v>1</v>
      </c>
      <c r="B8" s="9" t="s">
        <v>95</v>
      </c>
      <c r="C8" s="9" t="s">
        <v>103</v>
      </c>
      <c r="D8" s="9" t="s">
        <v>97</v>
      </c>
      <c r="E8" s="9" t="s">
        <v>130</v>
      </c>
      <c r="F8" s="19">
        <v>272</v>
      </c>
      <c r="G8" s="18">
        <v>248</v>
      </c>
      <c r="H8" s="18">
        <v>296</v>
      </c>
      <c r="I8" s="19">
        <v>980</v>
      </c>
      <c r="J8" s="18">
        <v>900</v>
      </c>
      <c r="K8" s="18">
        <v>1070</v>
      </c>
      <c r="L8" s="12" t="s">
        <v>99</v>
      </c>
      <c r="M8" s="12"/>
    </row>
    <row r="9" spans="1:13" x14ac:dyDescent="0.4">
      <c r="A9" s="11">
        <v>2</v>
      </c>
      <c r="B9" s="9" t="s">
        <v>95</v>
      </c>
      <c r="C9" s="9" t="s">
        <v>105</v>
      </c>
      <c r="D9" s="9" t="s">
        <v>97</v>
      </c>
      <c r="E9" s="9" t="s">
        <v>130</v>
      </c>
      <c r="F9" s="19">
        <v>250</v>
      </c>
      <c r="G9" s="18">
        <v>226</v>
      </c>
      <c r="H9" s="18">
        <v>273</v>
      </c>
      <c r="I9" s="19">
        <v>890</v>
      </c>
      <c r="J9" s="18">
        <v>810</v>
      </c>
      <c r="K9" s="18">
        <v>980</v>
      </c>
      <c r="L9" s="12" t="s">
        <v>101</v>
      </c>
      <c r="M9" s="12"/>
    </row>
    <row r="10" spans="1:13" x14ac:dyDescent="0.4">
      <c r="A10" s="11">
        <v>3</v>
      </c>
      <c r="B10" s="9" t="s">
        <v>95</v>
      </c>
      <c r="C10" s="9" t="s">
        <v>106</v>
      </c>
      <c r="D10" s="9" t="s">
        <v>97</v>
      </c>
      <c r="E10" s="9" t="s">
        <v>130</v>
      </c>
      <c r="F10" s="19">
        <v>222</v>
      </c>
      <c r="G10" s="18">
        <v>199</v>
      </c>
      <c r="H10" s="18">
        <v>244</v>
      </c>
      <c r="I10" s="19">
        <v>790</v>
      </c>
      <c r="J10" s="18">
        <v>710</v>
      </c>
      <c r="K10" s="18">
        <v>870</v>
      </c>
      <c r="L10" s="12" t="s">
        <v>101</v>
      </c>
      <c r="M10" s="12"/>
    </row>
    <row r="11" spans="1:13" x14ac:dyDescent="0.4">
      <c r="A11" s="11">
        <v>4</v>
      </c>
      <c r="B11" s="9" t="s">
        <v>95</v>
      </c>
      <c r="C11" s="9" t="s">
        <v>107</v>
      </c>
      <c r="D11" s="9" t="s">
        <v>97</v>
      </c>
      <c r="E11" s="9" t="s">
        <v>130</v>
      </c>
      <c r="F11" s="19">
        <v>207</v>
      </c>
      <c r="G11" s="18">
        <v>185</v>
      </c>
      <c r="H11" s="18">
        <v>229</v>
      </c>
      <c r="I11" s="19">
        <v>730</v>
      </c>
      <c r="J11" s="18">
        <v>660</v>
      </c>
      <c r="K11" s="18">
        <v>810</v>
      </c>
      <c r="L11" s="12" t="s">
        <v>101</v>
      </c>
      <c r="M11" s="12"/>
    </row>
    <row r="12" spans="1:13" x14ac:dyDescent="0.4">
      <c r="A12" s="11">
        <v>5</v>
      </c>
      <c r="B12" s="9" t="s">
        <v>95</v>
      </c>
      <c r="C12" s="9" t="s">
        <v>108</v>
      </c>
      <c r="D12" s="9" t="s">
        <v>97</v>
      </c>
      <c r="E12" s="9" t="s">
        <v>130</v>
      </c>
      <c r="F12" s="19">
        <v>218</v>
      </c>
      <c r="G12" s="18">
        <v>195</v>
      </c>
      <c r="H12" s="18">
        <v>241</v>
      </c>
      <c r="I12" s="19">
        <v>760</v>
      </c>
      <c r="J12" s="18">
        <v>680</v>
      </c>
      <c r="K12" s="18">
        <v>840</v>
      </c>
      <c r="L12" s="12" t="s">
        <v>101</v>
      </c>
      <c r="M12" s="12"/>
    </row>
    <row r="13" spans="1:13" x14ac:dyDescent="0.4">
      <c r="A13" s="11">
        <v>6</v>
      </c>
      <c r="B13" s="9" t="s">
        <v>95</v>
      </c>
      <c r="C13" s="9" t="s">
        <v>109</v>
      </c>
      <c r="D13" s="9" t="s">
        <v>97</v>
      </c>
      <c r="E13" s="9" t="s">
        <v>130</v>
      </c>
      <c r="F13" s="19">
        <v>175</v>
      </c>
      <c r="G13" s="18">
        <v>154</v>
      </c>
      <c r="H13" s="18">
        <v>195</v>
      </c>
      <c r="I13" s="19">
        <v>620</v>
      </c>
      <c r="J13" s="18">
        <v>540</v>
      </c>
      <c r="K13" s="18">
        <v>690</v>
      </c>
      <c r="L13" s="12" t="s">
        <v>104</v>
      </c>
      <c r="M13" s="12"/>
    </row>
    <row r="14" spans="1:13" x14ac:dyDescent="0.4">
      <c r="A14" s="11">
        <v>7</v>
      </c>
      <c r="B14" s="9" t="s">
        <v>95</v>
      </c>
      <c r="C14" s="9" t="s">
        <v>110</v>
      </c>
      <c r="D14" s="9" t="s">
        <v>97</v>
      </c>
      <c r="E14" s="9" t="s">
        <v>130</v>
      </c>
      <c r="F14" s="19">
        <v>166</v>
      </c>
      <c r="G14" s="18">
        <v>145</v>
      </c>
      <c r="H14" s="18">
        <v>187</v>
      </c>
      <c r="I14" s="19">
        <v>590</v>
      </c>
      <c r="J14" s="18">
        <v>520</v>
      </c>
      <c r="K14" s="18">
        <v>670</v>
      </c>
      <c r="L14" s="12" t="s">
        <v>101</v>
      </c>
      <c r="M14" s="12"/>
    </row>
    <row r="15" spans="1:13" x14ac:dyDescent="0.4">
      <c r="A15" s="11">
        <v>8</v>
      </c>
      <c r="B15" s="9" t="s">
        <v>95</v>
      </c>
      <c r="C15" s="9" t="s">
        <v>111</v>
      </c>
      <c r="D15" s="9" t="s">
        <v>97</v>
      </c>
      <c r="E15" s="9" t="s">
        <v>130</v>
      </c>
      <c r="F15" s="19">
        <v>151</v>
      </c>
      <c r="G15" s="18">
        <v>129</v>
      </c>
      <c r="H15" s="18">
        <v>172</v>
      </c>
      <c r="I15" s="19">
        <v>530</v>
      </c>
      <c r="J15" s="18">
        <v>450</v>
      </c>
      <c r="K15" s="18">
        <v>610</v>
      </c>
      <c r="L15" s="12" t="s">
        <v>101</v>
      </c>
      <c r="M15" s="12"/>
    </row>
    <row r="16" spans="1:13" x14ac:dyDescent="0.4">
      <c r="A16" s="11">
        <v>9</v>
      </c>
      <c r="B16" s="9" t="s">
        <v>95</v>
      </c>
      <c r="C16" s="9" t="s">
        <v>112</v>
      </c>
      <c r="D16" s="9" t="s">
        <v>97</v>
      </c>
      <c r="E16" s="9" t="s">
        <v>130</v>
      </c>
      <c r="F16" s="19">
        <v>158</v>
      </c>
      <c r="G16" s="18">
        <v>135</v>
      </c>
      <c r="H16" s="18">
        <v>180</v>
      </c>
      <c r="I16" s="19">
        <v>550</v>
      </c>
      <c r="J16" s="18">
        <v>480</v>
      </c>
      <c r="K16" s="18">
        <v>630</v>
      </c>
      <c r="L16" s="12" t="s">
        <v>101</v>
      </c>
      <c r="M16" s="12"/>
    </row>
    <row r="17" spans="1:13" x14ac:dyDescent="0.4">
      <c r="A17" s="11">
        <v>10</v>
      </c>
      <c r="B17" s="9" t="s">
        <v>95</v>
      </c>
      <c r="C17" s="9" t="s">
        <v>113</v>
      </c>
      <c r="D17" s="9" t="s">
        <v>97</v>
      </c>
      <c r="E17" s="9" t="s">
        <v>130</v>
      </c>
      <c r="F17" s="19">
        <v>176</v>
      </c>
      <c r="G17" s="18">
        <v>152</v>
      </c>
      <c r="H17" s="18">
        <v>200</v>
      </c>
      <c r="I17" s="19">
        <v>610</v>
      </c>
      <c r="J17" s="18">
        <v>530</v>
      </c>
      <c r="K17" s="18">
        <v>690</v>
      </c>
      <c r="L17" s="12" t="s">
        <v>101</v>
      </c>
      <c r="M17" s="12"/>
    </row>
    <row r="18" spans="1:13" x14ac:dyDescent="0.4">
      <c r="A18" s="11">
        <v>11</v>
      </c>
      <c r="B18" s="9" t="s">
        <v>95</v>
      </c>
      <c r="C18" s="9" t="s">
        <v>114</v>
      </c>
      <c r="D18" s="9" t="s">
        <v>97</v>
      </c>
      <c r="E18" s="9" t="s">
        <v>130</v>
      </c>
      <c r="F18" s="19">
        <v>148</v>
      </c>
      <c r="G18" s="18">
        <v>127</v>
      </c>
      <c r="H18" s="18">
        <v>169</v>
      </c>
      <c r="I18" s="19">
        <v>500</v>
      </c>
      <c r="J18" s="18">
        <v>430</v>
      </c>
      <c r="K18" s="18">
        <v>570</v>
      </c>
      <c r="L18" s="12" t="s">
        <v>101</v>
      </c>
      <c r="M18" s="12"/>
    </row>
    <row r="19" spans="1:13" x14ac:dyDescent="0.4">
      <c r="A19" s="11">
        <v>12</v>
      </c>
      <c r="B19" s="9" t="s">
        <v>95</v>
      </c>
      <c r="C19" s="9" t="s">
        <v>115</v>
      </c>
      <c r="D19" s="9" t="s">
        <v>97</v>
      </c>
      <c r="E19" s="9" t="s">
        <v>130</v>
      </c>
      <c r="F19" s="19">
        <v>153</v>
      </c>
      <c r="G19" s="18">
        <v>131</v>
      </c>
      <c r="H19" s="18">
        <v>174</v>
      </c>
      <c r="I19" s="19">
        <v>510</v>
      </c>
      <c r="J19" s="18">
        <v>430</v>
      </c>
      <c r="K19" s="18">
        <v>580</v>
      </c>
      <c r="L19" s="12" t="s">
        <v>101</v>
      </c>
      <c r="M19" s="12"/>
    </row>
    <row r="20" spans="1:13" x14ac:dyDescent="0.4">
      <c r="A20" s="11">
        <v>13</v>
      </c>
      <c r="B20" s="9" t="s">
        <v>95</v>
      </c>
      <c r="C20" s="9" t="s">
        <v>116</v>
      </c>
      <c r="D20" s="9" t="s">
        <v>97</v>
      </c>
      <c r="E20" s="9" t="s">
        <v>130</v>
      </c>
      <c r="F20" s="19">
        <v>152</v>
      </c>
      <c r="G20" s="18">
        <v>128</v>
      </c>
      <c r="H20" s="18">
        <v>175</v>
      </c>
      <c r="I20" s="19">
        <v>500</v>
      </c>
      <c r="J20" s="18">
        <v>420</v>
      </c>
      <c r="K20" s="18">
        <v>570</v>
      </c>
      <c r="L20" s="12" t="s">
        <v>101</v>
      </c>
      <c r="M20" s="12"/>
    </row>
    <row r="21" spans="1:13" x14ac:dyDescent="0.4">
      <c r="A21" s="11">
        <v>14</v>
      </c>
      <c r="B21" s="9" t="s">
        <v>95</v>
      </c>
      <c r="C21" s="9" t="s">
        <v>117</v>
      </c>
      <c r="D21" s="9" t="s">
        <v>97</v>
      </c>
      <c r="E21" s="9" t="s">
        <v>130</v>
      </c>
      <c r="F21" s="19">
        <v>176</v>
      </c>
      <c r="G21" s="18">
        <v>149</v>
      </c>
      <c r="H21" s="18">
        <v>202</v>
      </c>
      <c r="I21" s="19">
        <v>570</v>
      </c>
      <c r="J21" s="18">
        <v>480</v>
      </c>
      <c r="K21" s="18">
        <v>650</v>
      </c>
      <c r="L21" s="12" t="s">
        <v>101</v>
      </c>
      <c r="M21" s="12"/>
    </row>
    <row r="22" spans="1:13" x14ac:dyDescent="0.4">
      <c r="A22" s="11">
        <v>15</v>
      </c>
      <c r="B22" s="9" t="s">
        <v>95</v>
      </c>
      <c r="C22" s="9" t="s">
        <v>118</v>
      </c>
      <c r="D22" s="9" t="s">
        <v>97</v>
      </c>
      <c r="E22" s="9" t="s">
        <v>130</v>
      </c>
      <c r="F22" s="19">
        <v>135</v>
      </c>
      <c r="G22" s="18">
        <v>112</v>
      </c>
      <c r="H22" s="18">
        <v>158</v>
      </c>
      <c r="I22" s="19">
        <v>430</v>
      </c>
      <c r="J22" s="18">
        <v>360</v>
      </c>
      <c r="K22" s="18">
        <v>500</v>
      </c>
      <c r="L22" s="12" t="s">
        <v>104</v>
      </c>
      <c r="M22" s="12"/>
    </row>
    <row r="23" spans="1:13" x14ac:dyDescent="0.4">
      <c r="A23" s="11">
        <v>16</v>
      </c>
      <c r="B23" s="9" t="s">
        <v>95</v>
      </c>
      <c r="C23" s="9" t="s">
        <v>119</v>
      </c>
      <c r="D23" s="9" t="s">
        <v>97</v>
      </c>
      <c r="E23" s="9" t="s">
        <v>130</v>
      </c>
      <c r="F23" s="19">
        <v>137</v>
      </c>
      <c r="G23" s="18">
        <v>113</v>
      </c>
      <c r="H23" s="18">
        <v>162</v>
      </c>
      <c r="I23" s="19">
        <v>430</v>
      </c>
      <c r="J23" s="18">
        <v>350</v>
      </c>
      <c r="K23" s="18">
        <v>510</v>
      </c>
      <c r="L23" s="12" t="s">
        <v>101</v>
      </c>
      <c r="M23" s="12"/>
    </row>
    <row r="24" spans="1:13" x14ac:dyDescent="0.4">
      <c r="A24" s="11">
        <v>17</v>
      </c>
      <c r="B24" s="9" t="s">
        <v>95</v>
      </c>
      <c r="C24" s="9" t="s">
        <v>120</v>
      </c>
      <c r="D24" s="9" t="s">
        <v>97</v>
      </c>
      <c r="E24" s="9" t="s">
        <v>130</v>
      </c>
      <c r="F24" s="19">
        <v>171</v>
      </c>
      <c r="G24" s="18">
        <v>142</v>
      </c>
      <c r="H24" s="18">
        <v>200</v>
      </c>
      <c r="I24" s="19">
        <v>540</v>
      </c>
      <c r="J24" s="18">
        <v>450</v>
      </c>
      <c r="K24" s="18">
        <v>630</v>
      </c>
      <c r="L24" s="12" t="s">
        <v>101</v>
      </c>
      <c r="M24" s="12"/>
    </row>
    <row r="25" spans="1:13" x14ac:dyDescent="0.4">
      <c r="A25" s="11">
        <v>18</v>
      </c>
      <c r="B25" s="9" t="s">
        <v>95</v>
      </c>
      <c r="C25" s="9" t="s">
        <v>122</v>
      </c>
      <c r="D25" s="9" t="s">
        <v>97</v>
      </c>
      <c r="E25" s="9" t="s">
        <v>130</v>
      </c>
      <c r="F25" s="19">
        <v>108</v>
      </c>
      <c r="G25" s="18">
        <v>83</v>
      </c>
      <c r="H25" s="18">
        <v>133</v>
      </c>
      <c r="I25" s="19">
        <v>340</v>
      </c>
      <c r="J25" s="18">
        <v>270</v>
      </c>
      <c r="K25" s="18">
        <v>420</v>
      </c>
      <c r="L25" s="12" t="s">
        <v>104</v>
      </c>
      <c r="M25" s="12"/>
    </row>
    <row r="26" spans="1:13" x14ac:dyDescent="0.4">
      <c r="A26" s="11">
        <v>19</v>
      </c>
      <c r="B26" s="9" t="s">
        <v>95</v>
      </c>
      <c r="C26" s="9" t="s">
        <v>123</v>
      </c>
      <c r="D26" s="9" t="s">
        <v>97</v>
      </c>
      <c r="E26" s="9" t="s">
        <v>130</v>
      </c>
      <c r="F26" s="19">
        <v>153</v>
      </c>
      <c r="G26" s="18">
        <v>123</v>
      </c>
      <c r="H26" s="18">
        <v>184</v>
      </c>
      <c r="I26" s="19">
        <v>480</v>
      </c>
      <c r="J26" s="18">
        <v>390</v>
      </c>
      <c r="K26" s="18">
        <v>580</v>
      </c>
      <c r="L26" s="12" t="s">
        <v>121</v>
      </c>
      <c r="M26" s="12"/>
    </row>
    <row r="27" spans="1:13" x14ac:dyDescent="0.4">
      <c r="A27" s="11">
        <v>20</v>
      </c>
      <c r="B27" s="9" t="s">
        <v>95</v>
      </c>
      <c r="C27" s="9" t="s">
        <v>124</v>
      </c>
      <c r="D27" s="9" t="s">
        <v>97</v>
      </c>
      <c r="E27" s="9" t="s">
        <v>130</v>
      </c>
      <c r="F27" s="19">
        <v>131</v>
      </c>
      <c r="G27" s="18">
        <v>96</v>
      </c>
      <c r="H27" s="18">
        <v>167</v>
      </c>
      <c r="I27" s="19">
        <v>410</v>
      </c>
      <c r="J27" s="18">
        <v>300</v>
      </c>
      <c r="K27" s="18">
        <v>520</v>
      </c>
      <c r="L27" s="12" t="s">
        <v>101</v>
      </c>
      <c r="M27" s="12"/>
    </row>
    <row r="28" spans="1:13" x14ac:dyDescent="0.4">
      <c r="A28" s="11">
        <v>21</v>
      </c>
      <c r="B28" s="9" t="s">
        <v>95</v>
      </c>
      <c r="C28" s="9" t="s">
        <v>125</v>
      </c>
      <c r="D28" s="9" t="s">
        <v>97</v>
      </c>
      <c r="E28" s="9" t="s">
        <v>130</v>
      </c>
      <c r="F28" s="19">
        <v>130</v>
      </c>
      <c r="G28" s="18">
        <v>95</v>
      </c>
      <c r="H28" s="18">
        <v>165</v>
      </c>
      <c r="I28" s="19">
        <v>400</v>
      </c>
      <c r="J28" s="18">
        <v>290</v>
      </c>
      <c r="K28" s="18">
        <v>510</v>
      </c>
      <c r="L28" s="12" t="s">
        <v>101</v>
      </c>
      <c r="M28" s="12"/>
    </row>
    <row r="29" spans="1:13" x14ac:dyDescent="0.4">
      <c r="A29" s="11">
        <v>22</v>
      </c>
      <c r="B29" s="9" t="s">
        <v>95</v>
      </c>
      <c r="C29" s="9" t="s">
        <v>126</v>
      </c>
      <c r="D29" s="9" t="s">
        <v>97</v>
      </c>
      <c r="E29" s="9" t="s">
        <v>130</v>
      </c>
      <c r="F29" s="19">
        <v>124</v>
      </c>
      <c r="G29" s="18">
        <v>97</v>
      </c>
      <c r="H29" s="18">
        <v>152</v>
      </c>
      <c r="I29" s="19">
        <v>380</v>
      </c>
      <c r="J29" s="18">
        <v>290</v>
      </c>
      <c r="K29" s="18">
        <v>460</v>
      </c>
      <c r="L29" s="12" t="s">
        <v>101</v>
      </c>
      <c r="M29" s="12"/>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
  <sheetViews>
    <sheetView showGridLines="0" workbookViewId="0"/>
  </sheetViews>
  <sheetFormatPr defaultColWidth="10.6640625" defaultRowHeight="15" x14ac:dyDescent="0.4"/>
  <cols>
    <col min="1" max="2" width="8.6640625" customWidth="1"/>
    <col min="3" max="3" width="27.88671875" customWidth="1"/>
    <col min="4" max="4" width="12.6640625" customWidth="1"/>
    <col min="5" max="5" width="39.77734375" customWidth="1"/>
    <col min="6" max="13" width="12.6640625" customWidth="1"/>
  </cols>
  <sheetData>
    <row r="1" spans="1:13" ht="20.65" x14ac:dyDescent="0.6">
      <c r="A1" s="5" t="s">
        <v>131</v>
      </c>
    </row>
    <row r="2" spans="1:13" x14ac:dyDescent="0.4">
      <c r="A2" t="s">
        <v>146</v>
      </c>
    </row>
    <row r="3" spans="1:13" x14ac:dyDescent="0.4">
      <c r="A3" t="s">
        <v>26</v>
      </c>
    </row>
    <row r="4" spans="1:13" x14ac:dyDescent="0.4">
      <c r="A4" t="s">
        <v>79</v>
      </c>
    </row>
    <row r="5" spans="1:13" x14ac:dyDescent="0.4">
      <c r="A5" t="s">
        <v>80</v>
      </c>
    </row>
    <row r="6" spans="1:13" x14ac:dyDescent="0.4">
      <c r="A6" t="s">
        <v>81</v>
      </c>
    </row>
    <row r="7" spans="1:13" ht="90" x14ac:dyDescent="0.4">
      <c r="A7" s="10" t="s">
        <v>82</v>
      </c>
      <c r="B7" s="10" t="s">
        <v>83</v>
      </c>
      <c r="C7" s="10" t="s">
        <v>84</v>
      </c>
      <c r="D7" s="10" t="s">
        <v>85</v>
      </c>
      <c r="E7" s="10" t="s">
        <v>86</v>
      </c>
      <c r="F7" s="13" t="s">
        <v>132</v>
      </c>
      <c r="G7" s="13" t="s">
        <v>133</v>
      </c>
      <c r="H7" s="13" t="s">
        <v>134</v>
      </c>
      <c r="I7" s="13" t="s">
        <v>135</v>
      </c>
      <c r="J7" s="13" t="s">
        <v>136</v>
      </c>
      <c r="K7" s="13" t="s">
        <v>137</v>
      </c>
      <c r="L7" s="13" t="s">
        <v>93</v>
      </c>
      <c r="M7" s="13" t="s">
        <v>94</v>
      </c>
    </row>
    <row r="8" spans="1:13" x14ac:dyDescent="0.4">
      <c r="A8" s="11">
        <v>1</v>
      </c>
      <c r="B8" s="9" t="s">
        <v>95</v>
      </c>
      <c r="C8" s="9" t="s">
        <v>96</v>
      </c>
      <c r="D8" s="9" t="s">
        <v>97</v>
      </c>
      <c r="E8" s="9" t="s">
        <v>98</v>
      </c>
      <c r="F8" s="22">
        <v>8286</v>
      </c>
      <c r="G8" s="20">
        <v>7256</v>
      </c>
      <c r="H8" s="20">
        <v>9316</v>
      </c>
      <c r="I8" s="21">
        <v>0.36</v>
      </c>
      <c r="J8" s="12">
        <v>0.32</v>
      </c>
      <c r="K8" s="12">
        <v>0.41</v>
      </c>
      <c r="L8" s="12" t="s">
        <v>99</v>
      </c>
      <c r="M8" s="12"/>
    </row>
    <row r="9" spans="1:13" x14ac:dyDescent="0.4">
      <c r="A9" s="11">
        <v>2</v>
      </c>
      <c r="B9" s="9" t="s">
        <v>95</v>
      </c>
      <c r="C9" s="9" t="s">
        <v>103</v>
      </c>
      <c r="D9" s="9" t="s">
        <v>97</v>
      </c>
      <c r="E9" s="9" t="s">
        <v>98</v>
      </c>
      <c r="F9" s="22">
        <v>8772</v>
      </c>
      <c r="G9" s="20">
        <v>7675</v>
      </c>
      <c r="H9" s="20">
        <v>9869</v>
      </c>
      <c r="I9" s="21">
        <v>0.38</v>
      </c>
      <c r="J9" s="12">
        <v>0.33</v>
      </c>
      <c r="K9" s="12">
        <v>0.42</v>
      </c>
      <c r="L9" s="12" t="s">
        <v>101</v>
      </c>
      <c r="M9" s="12"/>
    </row>
    <row r="10" spans="1:13" x14ac:dyDescent="0.4">
      <c r="A10" s="11">
        <v>3</v>
      </c>
      <c r="B10" s="9" t="s">
        <v>95</v>
      </c>
      <c r="C10" s="9" t="s">
        <v>105</v>
      </c>
      <c r="D10" s="9" t="s">
        <v>97</v>
      </c>
      <c r="E10" s="9" t="s">
        <v>98</v>
      </c>
      <c r="F10" s="22">
        <v>7246</v>
      </c>
      <c r="G10" s="20">
        <v>6324</v>
      </c>
      <c r="H10" s="20">
        <v>8168</v>
      </c>
      <c r="I10" s="21">
        <v>0.31</v>
      </c>
      <c r="J10" s="12">
        <v>0.27</v>
      </c>
      <c r="K10" s="12">
        <v>0.35</v>
      </c>
      <c r="L10" s="12" t="s">
        <v>104</v>
      </c>
      <c r="M10" s="12"/>
    </row>
    <row r="11" spans="1:13" x14ac:dyDescent="0.4">
      <c r="A11" s="11">
        <v>4</v>
      </c>
      <c r="B11" s="9" t="s">
        <v>95</v>
      </c>
      <c r="C11" s="9" t="s">
        <v>106</v>
      </c>
      <c r="D11" s="9" t="s">
        <v>97</v>
      </c>
      <c r="E11" s="9" t="s">
        <v>98</v>
      </c>
      <c r="F11" s="22">
        <v>6411</v>
      </c>
      <c r="G11" s="20">
        <v>5551</v>
      </c>
      <c r="H11" s="20">
        <v>7272</v>
      </c>
      <c r="I11" s="21">
        <v>0.27</v>
      </c>
      <c r="J11" s="12">
        <v>0.23</v>
      </c>
      <c r="K11" s="12">
        <v>0.31</v>
      </c>
      <c r="L11" s="12" t="s">
        <v>101</v>
      </c>
      <c r="M11" s="12"/>
    </row>
    <row r="12" spans="1:13" x14ac:dyDescent="0.4">
      <c r="A12" s="11">
        <v>5</v>
      </c>
      <c r="B12" s="9" t="s">
        <v>95</v>
      </c>
      <c r="C12" s="9" t="s">
        <v>107</v>
      </c>
      <c r="D12" s="9" t="s">
        <v>97</v>
      </c>
      <c r="E12" s="9" t="s">
        <v>98</v>
      </c>
      <c r="F12" s="22">
        <v>6057</v>
      </c>
      <c r="G12" s="20">
        <v>5112</v>
      </c>
      <c r="H12" s="20">
        <v>7002</v>
      </c>
      <c r="I12" s="21">
        <v>0.25</v>
      </c>
      <c r="J12" s="12">
        <v>0.21</v>
      </c>
      <c r="K12" s="12">
        <v>0.28999999999999998</v>
      </c>
      <c r="L12" s="12" t="s">
        <v>101</v>
      </c>
      <c r="M12" s="12"/>
    </row>
    <row r="13" spans="1:13" x14ac:dyDescent="0.4">
      <c r="A13" s="11">
        <v>6</v>
      </c>
      <c r="B13" s="9" t="s">
        <v>95</v>
      </c>
      <c r="C13" s="9" t="s">
        <v>108</v>
      </c>
      <c r="D13" s="9" t="s">
        <v>97</v>
      </c>
      <c r="E13" s="9" t="s">
        <v>98</v>
      </c>
      <c r="F13" s="22">
        <v>6493</v>
      </c>
      <c r="G13" s="20">
        <v>5542</v>
      </c>
      <c r="H13" s="20">
        <v>7444</v>
      </c>
      <c r="I13" s="21">
        <v>0.27</v>
      </c>
      <c r="J13" s="12">
        <v>0.23</v>
      </c>
      <c r="K13" s="12">
        <v>0.31</v>
      </c>
      <c r="L13" s="12" t="s">
        <v>101</v>
      </c>
      <c r="M13" s="12"/>
    </row>
    <row r="14" spans="1:13" x14ac:dyDescent="0.4">
      <c r="A14" s="11">
        <v>7</v>
      </c>
      <c r="B14" s="9" t="s">
        <v>95</v>
      </c>
      <c r="C14" s="9" t="s">
        <v>109</v>
      </c>
      <c r="D14" s="9" t="s">
        <v>97</v>
      </c>
      <c r="E14" s="9" t="s">
        <v>98</v>
      </c>
      <c r="F14" s="22">
        <v>4848</v>
      </c>
      <c r="G14" s="20">
        <v>4075</v>
      </c>
      <c r="H14" s="20">
        <v>5621</v>
      </c>
      <c r="I14" s="21">
        <v>0.2</v>
      </c>
      <c r="J14" s="12">
        <v>0.17</v>
      </c>
      <c r="K14" s="12">
        <v>0.24</v>
      </c>
      <c r="L14" s="12" t="s">
        <v>104</v>
      </c>
      <c r="M14" s="12"/>
    </row>
    <row r="15" spans="1:13" x14ac:dyDescent="0.4">
      <c r="A15" s="11">
        <v>8</v>
      </c>
      <c r="B15" s="9" t="s">
        <v>95</v>
      </c>
      <c r="C15" s="9" t="s">
        <v>110</v>
      </c>
      <c r="D15" s="9" t="s">
        <v>97</v>
      </c>
      <c r="E15" s="9" t="s">
        <v>98</v>
      </c>
      <c r="F15" s="22">
        <v>4936</v>
      </c>
      <c r="G15" s="20">
        <v>3945</v>
      </c>
      <c r="H15" s="20">
        <v>5927</v>
      </c>
      <c r="I15" s="21">
        <v>0.21</v>
      </c>
      <c r="J15" s="12">
        <v>0.17</v>
      </c>
      <c r="K15" s="12">
        <v>0.25</v>
      </c>
      <c r="L15" s="12" t="s">
        <v>101</v>
      </c>
      <c r="M15" s="12"/>
    </row>
    <row r="16" spans="1:13" x14ac:dyDescent="0.4">
      <c r="A16" s="11">
        <v>9</v>
      </c>
      <c r="B16" s="9" t="s">
        <v>95</v>
      </c>
      <c r="C16" s="9" t="s">
        <v>111</v>
      </c>
      <c r="D16" s="9" t="s">
        <v>97</v>
      </c>
      <c r="E16" s="9" t="s">
        <v>98</v>
      </c>
      <c r="F16" s="22">
        <v>4503</v>
      </c>
      <c r="G16" s="20">
        <v>3576</v>
      </c>
      <c r="H16" s="20">
        <v>5430</v>
      </c>
      <c r="I16" s="21">
        <v>0.19</v>
      </c>
      <c r="J16" s="12">
        <v>0.15</v>
      </c>
      <c r="K16" s="12">
        <v>0.23</v>
      </c>
      <c r="L16" s="12" t="s">
        <v>101</v>
      </c>
      <c r="M16" s="12"/>
    </row>
    <row r="17" spans="1:13" x14ac:dyDescent="0.4">
      <c r="A17" s="11">
        <v>10</v>
      </c>
      <c r="B17" s="9" t="s">
        <v>95</v>
      </c>
      <c r="C17" s="9" t="s">
        <v>112</v>
      </c>
      <c r="D17" s="9" t="s">
        <v>97</v>
      </c>
      <c r="E17" s="9" t="s">
        <v>98</v>
      </c>
      <c r="F17" s="22">
        <v>4533</v>
      </c>
      <c r="G17" s="20">
        <v>3658</v>
      </c>
      <c r="H17" s="20">
        <v>5408</v>
      </c>
      <c r="I17" s="21">
        <v>0.19</v>
      </c>
      <c r="J17" s="12">
        <v>0.16</v>
      </c>
      <c r="K17" s="12">
        <v>0.23</v>
      </c>
      <c r="L17" s="12" t="s">
        <v>101</v>
      </c>
      <c r="M17" s="12"/>
    </row>
    <row r="18" spans="1:13" x14ac:dyDescent="0.4">
      <c r="A18" s="11">
        <v>11</v>
      </c>
      <c r="B18" s="9" t="s">
        <v>95</v>
      </c>
      <c r="C18" s="9" t="s">
        <v>113</v>
      </c>
      <c r="D18" s="9" t="s">
        <v>97</v>
      </c>
      <c r="E18" s="9" t="s">
        <v>98</v>
      </c>
      <c r="F18" s="22">
        <v>5185</v>
      </c>
      <c r="G18" s="20">
        <v>4166</v>
      </c>
      <c r="H18" s="20">
        <v>6205</v>
      </c>
      <c r="I18" s="21">
        <v>0.22</v>
      </c>
      <c r="J18" s="12">
        <v>0.17</v>
      </c>
      <c r="K18" s="12">
        <v>0.26</v>
      </c>
      <c r="L18" s="12" t="s">
        <v>101</v>
      </c>
      <c r="M18" s="12"/>
    </row>
    <row r="19" spans="1:13" x14ac:dyDescent="0.4">
      <c r="A19" s="11">
        <v>12</v>
      </c>
      <c r="B19" s="9" t="s">
        <v>95</v>
      </c>
      <c r="C19" s="9" t="s">
        <v>114</v>
      </c>
      <c r="D19" s="9" t="s">
        <v>97</v>
      </c>
      <c r="E19" s="9" t="s">
        <v>98</v>
      </c>
      <c r="F19" s="22">
        <v>4436</v>
      </c>
      <c r="G19" s="20">
        <v>3508</v>
      </c>
      <c r="H19" s="20">
        <v>5364</v>
      </c>
      <c r="I19" s="21">
        <v>0.18</v>
      </c>
      <c r="J19" s="12">
        <v>0.14000000000000001</v>
      </c>
      <c r="K19" s="12">
        <v>0.22</v>
      </c>
      <c r="L19" s="12" t="s">
        <v>101</v>
      </c>
      <c r="M19" s="12"/>
    </row>
    <row r="20" spans="1:13" x14ac:dyDescent="0.4">
      <c r="A20" s="11">
        <v>13</v>
      </c>
      <c r="B20" s="9" t="s">
        <v>95</v>
      </c>
      <c r="C20" s="9" t="s">
        <v>115</v>
      </c>
      <c r="D20" s="9" t="s">
        <v>97</v>
      </c>
      <c r="E20" s="9" t="s">
        <v>98</v>
      </c>
      <c r="F20" s="22">
        <v>4075</v>
      </c>
      <c r="G20" s="20">
        <v>3334</v>
      </c>
      <c r="H20" s="20">
        <v>4816</v>
      </c>
      <c r="I20" s="21">
        <v>0.16</v>
      </c>
      <c r="J20" s="12">
        <v>0.13</v>
      </c>
      <c r="K20" s="12">
        <v>0.19</v>
      </c>
      <c r="L20" s="12" t="s">
        <v>101</v>
      </c>
      <c r="M20" s="12"/>
    </row>
    <row r="21" spans="1:13" x14ac:dyDescent="0.4">
      <c r="A21" s="11">
        <v>14</v>
      </c>
      <c r="B21" s="9" t="s">
        <v>95</v>
      </c>
      <c r="C21" s="9" t="s">
        <v>116</v>
      </c>
      <c r="D21" s="9" t="s">
        <v>97</v>
      </c>
      <c r="E21" s="9" t="s">
        <v>98</v>
      </c>
      <c r="F21" s="22">
        <v>4493</v>
      </c>
      <c r="G21" s="20">
        <v>3596</v>
      </c>
      <c r="H21" s="20">
        <v>5389</v>
      </c>
      <c r="I21" s="21">
        <v>0.18</v>
      </c>
      <c r="J21" s="12">
        <v>0.14000000000000001</v>
      </c>
      <c r="K21" s="12">
        <v>0.21</v>
      </c>
      <c r="L21" s="12" t="s">
        <v>101</v>
      </c>
      <c r="M21" s="12"/>
    </row>
    <row r="22" spans="1:13" x14ac:dyDescent="0.4">
      <c r="A22" s="11">
        <v>15</v>
      </c>
      <c r="B22" s="9" t="s">
        <v>95</v>
      </c>
      <c r="C22" s="9" t="s">
        <v>117</v>
      </c>
      <c r="D22" s="9" t="s">
        <v>97</v>
      </c>
      <c r="E22" s="9" t="s">
        <v>98</v>
      </c>
      <c r="F22" s="22">
        <v>5536</v>
      </c>
      <c r="G22" s="20">
        <v>4383</v>
      </c>
      <c r="H22" s="20">
        <v>6690</v>
      </c>
      <c r="I22" s="21">
        <v>0.21</v>
      </c>
      <c r="J22" s="12">
        <v>0.17</v>
      </c>
      <c r="K22" s="12">
        <v>0.26</v>
      </c>
      <c r="L22" s="12" t="s">
        <v>101</v>
      </c>
      <c r="M22" s="12"/>
    </row>
    <row r="23" spans="1:13" x14ac:dyDescent="0.4">
      <c r="A23" s="11">
        <v>16</v>
      </c>
      <c r="B23" s="9" t="s">
        <v>95</v>
      </c>
      <c r="C23" s="9" t="s">
        <v>118</v>
      </c>
      <c r="D23" s="9" t="s">
        <v>97</v>
      </c>
      <c r="E23" s="9" t="s">
        <v>98</v>
      </c>
      <c r="F23" s="22">
        <v>3927</v>
      </c>
      <c r="G23" s="20">
        <v>3044</v>
      </c>
      <c r="H23" s="20">
        <v>4810</v>
      </c>
      <c r="I23" s="21">
        <v>0.15</v>
      </c>
      <c r="J23" s="12">
        <v>0.12</v>
      </c>
      <c r="K23" s="12">
        <v>0.18</v>
      </c>
      <c r="L23" s="12" t="s">
        <v>104</v>
      </c>
      <c r="M23" s="12"/>
    </row>
    <row r="24" spans="1:13" x14ac:dyDescent="0.4">
      <c r="A24" s="11">
        <v>17</v>
      </c>
      <c r="B24" s="9" t="s">
        <v>95</v>
      </c>
      <c r="C24" s="9" t="s">
        <v>119</v>
      </c>
      <c r="D24" s="9" t="s">
        <v>97</v>
      </c>
      <c r="E24" s="9" t="s">
        <v>98</v>
      </c>
      <c r="F24" s="22">
        <v>4662</v>
      </c>
      <c r="G24" s="20">
        <v>3372</v>
      </c>
      <c r="H24" s="20">
        <v>5952</v>
      </c>
      <c r="I24" s="21">
        <v>0.18</v>
      </c>
      <c r="J24" s="12">
        <v>0.13</v>
      </c>
      <c r="K24" s="12">
        <v>0.22</v>
      </c>
      <c r="L24" s="12" t="s">
        <v>101</v>
      </c>
      <c r="M24" s="12"/>
    </row>
    <row r="25" spans="1:13" x14ac:dyDescent="0.4">
      <c r="A25" s="11">
        <v>18</v>
      </c>
      <c r="B25" s="9" t="s">
        <v>95</v>
      </c>
      <c r="C25" s="9" t="s">
        <v>138</v>
      </c>
      <c r="D25" s="9" t="s">
        <v>97</v>
      </c>
      <c r="E25" s="9" t="s">
        <v>98</v>
      </c>
      <c r="F25" s="22">
        <v>6385</v>
      </c>
      <c r="G25" s="20">
        <v>4681</v>
      </c>
      <c r="H25" s="20">
        <v>8090</v>
      </c>
      <c r="I25" s="21">
        <v>0.24</v>
      </c>
      <c r="J25" s="12">
        <v>0.18</v>
      </c>
      <c r="K25" s="12">
        <v>0.3</v>
      </c>
      <c r="L25" s="12" t="s">
        <v>101</v>
      </c>
      <c r="M25" s="12"/>
    </row>
    <row r="26" spans="1:13" x14ac:dyDescent="0.4">
      <c r="A26" s="11">
        <v>19</v>
      </c>
      <c r="B26" s="9" t="s">
        <v>95</v>
      </c>
      <c r="C26" s="9" t="s">
        <v>139</v>
      </c>
      <c r="D26" s="9" t="s">
        <v>97</v>
      </c>
      <c r="E26" s="9" t="s">
        <v>98</v>
      </c>
      <c r="F26" s="22">
        <v>6012</v>
      </c>
      <c r="G26" s="20">
        <v>4419</v>
      </c>
      <c r="H26" s="20">
        <v>7606</v>
      </c>
      <c r="I26" s="21">
        <v>0.23</v>
      </c>
      <c r="J26" s="12">
        <v>0.17</v>
      </c>
      <c r="K26" s="12">
        <v>0.28999999999999998</v>
      </c>
      <c r="L26" s="12" t="s">
        <v>101</v>
      </c>
      <c r="M26" s="12"/>
    </row>
    <row r="27" spans="1:13" x14ac:dyDescent="0.4">
      <c r="A27" s="11">
        <v>20</v>
      </c>
      <c r="B27" s="9" t="s">
        <v>95</v>
      </c>
      <c r="C27" s="9" t="s">
        <v>124</v>
      </c>
      <c r="D27" s="9" t="s">
        <v>97</v>
      </c>
      <c r="E27" s="9" t="s">
        <v>98</v>
      </c>
      <c r="F27" s="22">
        <v>3936</v>
      </c>
      <c r="G27" s="20">
        <v>2537</v>
      </c>
      <c r="H27" s="20">
        <v>5335</v>
      </c>
      <c r="I27" s="21">
        <v>0.15</v>
      </c>
      <c r="J27" s="12">
        <v>9.4E-2</v>
      </c>
      <c r="K27" s="12">
        <v>0.2</v>
      </c>
      <c r="L27" s="12" t="s">
        <v>104</v>
      </c>
      <c r="M27" s="12"/>
    </row>
    <row r="28" spans="1:13" x14ac:dyDescent="0.4">
      <c r="A28" s="11">
        <v>21</v>
      </c>
      <c r="B28" s="9" t="s">
        <v>95</v>
      </c>
      <c r="C28" s="9" t="s">
        <v>125</v>
      </c>
      <c r="D28" s="9" t="s">
        <v>97</v>
      </c>
      <c r="E28" s="9" t="s">
        <v>98</v>
      </c>
      <c r="F28" s="22">
        <v>4245</v>
      </c>
      <c r="G28" s="20">
        <v>2907</v>
      </c>
      <c r="H28" s="20">
        <v>5582</v>
      </c>
      <c r="I28" s="21">
        <v>0.16</v>
      </c>
      <c r="J28" s="12">
        <v>0.11</v>
      </c>
      <c r="K28" s="12">
        <v>0.21</v>
      </c>
      <c r="L28" s="12" t="s">
        <v>101</v>
      </c>
      <c r="M28" s="12"/>
    </row>
    <row r="29" spans="1:13" x14ac:dyDescent="0.4">
      <c r="A29" s="11">
        <v>22</v>
      </c>
      <c r="B29" s="9" t="s">
        <v>95</v>
      </c>
      <c r="C29" s="9" t="s">
        <v>126</v>
      </c>
      <c r="D29" s="9" t="s">
        <v>97</v>
      </c>
      <c r="E29" s="9" t="s">
        <v>98</v>
      </c>
      <c r="F29" s="22">
        <v>4430</v>
      </c>
      <c r="G29" s="20">
        <v>2916</v>
      </c>
      <c r="H29" s="20">
        <v>5943</v>
      </c>
      <c r="I29" s="21">
        <v>0.16</v>
      </c>
      <c r="J29" s="12">
        <v>0.11</v>
      </c>
      <c r="K29" s="12">
        <v>0.22</v>
      </c>
      <c r="L29" s="12" t="s">
        <v>101</v>
      </c>
      <c r="M29" s="12"/>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9"/>
  <sheetViews>
    <sheetView showGridLines="0" workbookViewId="0"/>
  </sheetViews>
  <sheetFormatPr defaultColWidth="10.6640625" defaultRowHeight="15" x14ac:dyDescent="0.4"/>
  <cols>
    <col min="1" max="2" width="8.6640625" customWidth="1"/>
    <col min="3" max="3" width="27.88671875" customWidth="1"/>
    <col min="4" max="4" width="12.6640625" customWidth="1"/>
    <col min="5" max="5" width="39.77734375" customWidth="1"/>
    <col min="6" max="13" width="12.6640625" customWidth="1"/>
  </cols>
  <sheetData>
    <row r="1" spans="1:13" ht="20.65" x14ac:dyDescent="0.6">
      <c r="A1" s="5" t="s">
        <v>140</v>
      </c>
    </row>
    <row r="2" spans="1:13" x14ac:dyDescent="0.4">
      <c r="A2" t="s">
        <v>146</v>
      </c>
    </row>
    <row r="3" spans="1:13" x14ac:dyDescent="0.4">
      <c r="A3" t="s">
        <v>26</v>
      </c>
    </row>
    <row r="4" spans="1:13" x14ac:dyDescent="0.4">
      <c r="A4" t="s">
        <v>79</v>
      </c>
    </row>
    <row r="5" spans="1:13" x14ac:dyDescent="0.4">
      <c r="A5" t="s">
        <v>80</v>
      </c>
    </row>
    <row r="6" spans="1:13" x14ac:dyDescent="0.4">
      <c r="A6" t="s">
        <v>81</v>
      </c>
    </row>
    <row r="7" spans="1:13" ht="90" x14ac:dyDescent="0.4">
      <c r="A7" s="10" t="s">
        <v>82</v>
      </c>
      <c r="B7" s="10" t="s">
        <v>83</v>
      </c>
      <c r="C7" s="10" t="s">
        <v>84</v>
      </c>
      <c r="D7" s="10" t="s">
        <v>85</v>
      </c>
      <c r="E7" s="10" t="s">
        <v>86</v>
      </c>
      <c r="F7" s="13" t="s">
        <v>132</v>
      </c>
      <c r="G7" s="13" t="s">
        <v>133</v>
      </c>
      <c r="H7" s="13" t="s">
        <v>134</v>
      </c>
      <c r="I7" s="13" t="s">
        <v>141</v>
      </c>
      <c r="J7" s="13" t="s">
        <v>142</v>
      </c>
      <c r="K7" s="13" t="s">
        <v>143</v>
      </c>
      <c r="L7" s="13" t="s">
        <v>93</v>
      </c>
      <c r="M7" s="13" t="s">
        <v>94</v>
      </c>
    </row>
    <row r="8" spans="1:13" x14ac:dyDescent="0.4">
      <c r="A8" s="11">
        <v>1</v>
      </c>
      <c r="B8" s="9" t="s">
        <v>95</v>
      </c>
      <c r="C8" s="9" t="s">
        <v>96</v>
      </c>
      <c r="D8" s="9" t="s">
        <v>97</v>
      </c>
      <c r="E8" s="9" t="s">
        <v>98</v>
      </c>
      <c r="F8" s="24">
        <v>8286</v>
      </c>
      <c r="G8" s="23">
        <v>7256</v>
      </c>
      <c r="H8" s="23">
        <v>9316</v>
      </c>
      <c r="I8" s="21">
        <v>7.8</v>
      </c>
      <c r="J8" s="12">
        <v>6.9</v>
      </c>
      <c r="K8" s="12">
        <v>8.6999999999999993</v>
      </c>
      <c r="L8" s="12" t="s">
        <v>99</v>
      </c>
      <c r="M8" s="12"/>
    </row>
    <row r="9" spans="1:13" x14ac:dyDescent="0.4">
      <c r="A9" s="11">
        <v>2</v>
      </c>
      <c r="B9" s="9" t="s">
        <v>95</v>
      </c>
      <c r="C9" s="9" t="s">
        <v>103</v>
      </c>
      <c r="D9" s="9" t="s">
        <v>97</v>
      </c>
      <c r="E9" s="9" t="s">
        <v>98</v>
      </c>
      <c r="F9" s="24">
        <v>8772</v>
      </c>
      <c r="G9" s="23">
        <v>7675</v>
      </c>
      <c r="H9" s="23">
        <v>9869</v>
      </c>
      <c r="I9" s="21">
        <v>9.1</v>
      </c>
      <c r="J9" s="12">
        <v>8</v>
      </c>
      <c r="K9" s="12">
        <v>10.1</v>
      </c>
      <c r="L9" s="12" t="s">
        <v>101</v>
      </c>
      <c r="M9" s="12"/>
    </row>
    <row r="10" spans="1:13" x14ac:dyDescent="0.4">
      <c r="A10" s="11">
        <v>3</v>
      </c>
      <c r="B10" s="9" t="s">
        <v>95</v>
      </c>
      <c r="C10" s="9" t="s">
        <v>105</v>
      </c>
      <c r="D10" s="9" t="s">
        <v>97</v>
      </c>
      <c r="E10" s="9" t="s">
        <v>98</v>
      </c>
      <c r="F10" s="24">
        <v>7246</v>
      </c>
      <c r="G10" s="23">
        <v>6324</v>
      </c>
      <c r="H10" s="23">
        <v>8168</v>
      </c>
      <c r="I10" s="21">
        <v>8.1</v>
      </c>
      <c r="J10" s="12">
        <v>7.1</v>
      </c>
      <c r="K10" s="12">
        <v>9</v>
      </c>
      <c r="L10" s="12" t="s">
        <v>101</v>
      </c>
      <c r="M10" s="12"/>
    </row>
    <row r="11" spans="1:13" x14ac:dyDescent="0.4">
      <c r="A11" s="11">
        <v>4</v>
      </c>
      <c r="B11" s="9" t="s">
        <v>95</v>
      </c>
      <c r="C11" s="9" t="s">
        <v>106</v>
      </c>
      <c r="D11" s="9" t="s">
        <v>97</v>
      </c>
      <c r="E11" s="9" t="s">
        <v>98</v>
      </c>
      <c r="F11" s="24">
        <v>6411</v>
      </c>
      <c r="G11" s="23">
        <v>5551</v>
      </c>
      <c r="H11" s="23">
        <v>7272</v>
      </c>
      <c r="I11" s="21">
        <v>7.6</v>
      </c>
      <c r="J11" s="12">
        <v>6.6</v>
      </c>
      <c r="K11" s="12">
        <v>8.5</v>
      </c>
      <c r="L11" s="12" t="s">
        <v>101</v>
      </c>
      <c r="M11" s="12"/>
    </row>
    <row r="12" spans="1:13" x14ac:dyDescent="0.4">
      <c r="A12" s="11">
        <v>5</v>
      </c>
      <c r="B12" s="9" t="s">
        <v>95</v>
      </c>
      <c r="C12" s="9" t="s">
        <v>107</v>
      </c>
      <c r="D12" s="9" t="s">
        <v>97</v>
      </c>
      <c r="E12" s="9" t="s">
        <v>98</v>
      </c>
      <c r="F12" s="24">
        <v>6057</v>
      </c>
      <c r="G12" s="23">
        <v>5112</v>
      </c>
      <c r="H12" s="23">
        <v>7002</v>
      </c>
      <c r="I12" s="21">
        <v>6.9</v>
      </c>
      <c r="J12" s="12">
        <v>5.9</v>
      </c>
      <c r="K12" s="12">
        <v>7.9</v>
      </c>
      <c r="L12" s="12" t="s">
        <v>101</v>
      </c>
      <c r="M12" s="12"/>
    </row>
    <row r="13" spans="1:13" x14ac:dyDescent="0.4">
      <c r="A13" s="11">
        <v>6</v>
      </c>
      <c r="B13" s="9" t="s">
        <v>95</v>
      </c>
      <c r="C13" s="9" t="s">
        <v>108</v>
      </c>
      <c r="D13" s="9" t="s">
        <v>97</v>
      </c>
      <c r="E13" s="9" t="s">
        <v>98</v>
      </c>
      <c r="F13" s="24">
        <v>6493</v>
      </c>
      <c r="G13" s="23">
        <v>5542</v>
      </c>
      <c r="H13" s="23">
        <v>7444</v>
      </c>
      <c r="I13" s="21">
        <v>7.9</v>
      </c>
      <c r="J13" s="12">
        <v>6.9</v>
      </c>
      <c r="K13" s="12">
        <v>9</v>
      </c>
      <c r="L13" s="12" t="s">
        <v>101</v>
      </c>
      <c r="M13" s="12"/>
    </row>
    <row r="14" spans="1:13" x14ac:dyDescent="0.4">
      <c r="A14" s="11">
        <v>7</v>
      </c>
      <c r="B14" s="9" t="s">
        <v>95</v>
      </c>
      <c r="C14" s="9" t="s">
        <v>109</v>
      </c>
      <c r="D14" s="9" t="s">
        <v>97</v>
      </c>
      <c r="E14" s="9" t="s">
        <v>98</v>
      </c>
      <c r="F14" s="24">
        <v>4848</v>
      </c>
      <c r="G14" s="23">
        <v>4075</v>
      </c>
      <c r="H14" s="23">
        <v>5621</v>
      </c>
      <c r="I14" s="21">
        <v>6.7</v>
      </c>
      <c r="J14" s="12">
        <v>5.7</v>
      </c>
      <c r="K14" s="12">
        <v>7.6</v>
      </c>
      <c r="L14" s="12" t="s">
        <v>101</v>
      </c>
      <c r="M14" s="12"/>
    </row>
    <row r="15" spans="1:13" x14ac:dyDescent="0.4">
      <c r="A15" s="11">
        <v>8</v>
      </c>
      <c r="B15" s="9" t="s">
        <v>95</v>
      </c>
      <c r="C15" s="9" t="s">
        <v>110</v>
      </c>
      <c r="D15" s="9" t="s">
        <v>97</v>
      </c>
      <c r="E15" s="9" t="s">
        <v>98</v>
      </c>
      <c r="F15" s="24">
        <v>4936</v>
      </c>
      <c r="G15" s="23">
        <v>3945</v>
      </c>
      <c r="H15" s="23">
        <v>5927</v>
      </c>
      <c r="I15" s="21">
        <v>6.8</v>
      </c>
      <c r="J15" s="12">
        <v>5.5</v>
      </c>
      <c r="K15" s="12">
        <v>8.1</v>
      </c>
      <c r="L15" s="12" t="s">
        <v>101</v>
      </c>
      <c r="M15" s="12"/>
    </row>
    <row r="16" spans="1:13" x14ac:dyDescent="0.4">
      <c r="A16" s="11">
        <v>9</v>
      </c>
      <c r="B16" s="9" t="s">
        <v>95</v>
      </c>
      <c r="C16" s="9" t="s">
        <v>111</v>
      </c>
      <c r="D16" s="9" t="s">
        <v>97</v>
      </c>
      <c r="E16" s="9" t="s">
        <v>98</v>
      </c>
      <c r="F16" s="24">
        <v>4503</v>
      </c>
      <c r="G16" s="23">
        <v>3576</v>
      </c>
      <c r="H16" s="23">
        <v>5430</v>
      </c>
      <c r="I16" s="21">
        <v>7.4</v>
      </c>
      <c r="J16" s="12">
        <v>6</v>
      </c>
      <c r="K16" s="12">
        <v>8.9</v>
      </c>
      <c r="L16" s="12" t="s">
        <v>101</v>
      </c>
      <c r="M16" s="12"/>
    </row>
    <row r="17" spans="1:13" x14ac:dyDescent="0.4">
      <c r="A17" s="11">
        <v>10</v>
      </c>
      <c r="B17" s="9" t="s">
        <v>95</v>
      </c>
      <c r="C17" s="9" t="s">
        <v>112</v>
      </c>
      <c r="D17" s="9" t="s">
        <v>97</v>
      </c>
      <c r="E17" s="9" t="s">
        <v>98</v>
      </c>
      <c r="F17" s="24">
        <v>4533</v>
      </c>
      <c r="G17" s="23">
        <v>3658</v>
      </c>
      <c r="H17" s="23">
        <v>5408</v>
      </c>
      <c r="I17" s="21">
        <v>7.6</v>
      </c>
      <c r="J17" s="12">
        <v>6.3</v>
      </c>
      <c r="K17" s="12">
        <v>9</v>
      </c>
      <c r="L17" s="12" t="s">
        <v>101</v>
      </c>
      <c r="M17" s="12"/>
    </row>
    <row r="18" spans="1:13" x14ac:dyDescent="0.4">
      <c r="A18" s="11">
        <v>11</v>
      </c>
      <c r="B18" s="9" t="s">
        <v>95</v>
      </c>
      <c r="C18" s="9" t="s">
        <v>113</v>
      </c>
      <c r="D18" s="9" t="s">
        <v>97</v>
      </c>
      <c r="E18" s="9" t="s">
        <v>98</v>
      </c>
      <c r="F18" s="24">
        <v>5185</v>
      </c>
      <c r="G18" s="23">
        <v>4166</v>
      </c>
      <c r="H18" s="23">
        <v>6205</v>
      </c>
      <c r="I18" s="21">
        <v>8</v>
      </c>
      <c r="J18" s="12">
        <v>6.5</v>
      </c>
      <c r="K18" s="12">
        <v>9.5</v>
      </c>
      <c r="L18" s="12" t="s">
        <v>101</v>
      </c>
      <c r="M18" s="12"/>
    </row>
    <row r="19" spans="1:13" x14ac:dyDescent="0.4">
      <c r="A19" s="11">
        <v>12</v>
      </c>
      <c r="B19" s="9" t="s">
        <v>95</v>
      </c>
      <c r="C19" s="9" t="s">
        <v>114</v>
      </c>
      <c r="D19" s="9" t="s">
        <v>97</v>
      </c>
      <c r="E19" s="9" t="s">
        <v>98</v>
      </c>
      <c r="F19" s="24">
        <v>4436</v>
      </c>
      <c r="G19" s="23">
        <v>3508</v>
      </c>
      <c r="H19" s="23">
        <v>5364</v>
      </c>
      <c r="I19" s="21">
        <v>7</v>
      </c>
      <c r="J19" s="12">
        <v>5.6</v>
      </c>
      <c r="K19" s="12">
        <v>8.4</v>
      </c>
      <c r="L19" s="12" t="s">
        <v>101</v>
      </c>
      <c r="M19" s="12"/>
    </row>
    <row r="20" spans="1:13" x14ac:dyDescent="0.4">
      <c r="A20" s="11">
        <v>13</v>
      </c>
      <c r="B20" s="9" t="s">
        <v>95</v>
      </c>
      <c r="C20" s="9" t="s">
        <v>115</v>
      </c>
      <c r="D20" s="9" t="s">
        <v>97</v>
      </c>
      <c r="E20" s="9" t="s">
        <v>98</v>
      </c>
      <c r="F20" s="24">
        <v>4075</v>
      </c>
      <c r="G20" s="23">
        <v>3334</v>
      </c>
      <c r="H20" s="23">
        <v>4816</v>
      </c>
      <c r="I20" s="21">
        <v>6.7</v>
      </c>
      <c r="J20" s="12">
        <v>5.5</v>
      </c>
      <c r="K20" s="12">
        <v>7.8</v>
      </c>
      <c r="L20" s="12" t="s">
        <v>101</v>
      </c>
      <c r="M20" s="12"/>
    </row>
    <row r="21" spans="1:13" x14ac:dyDescent="0.4">
      <c r="A21" s="11">
        <v>14</v>
      </c>
      <c r="B21" s="9" t="s">
        <v>95</v>
      </c>
      <c r="C21" s="9" t="s">
        <v>116</v>
      </c>
      <c r="D21" s="9" t="s">
        <v>97</v>
      </c>
      <c r="E21" s="9" t="s">
        <v>98</v>
      </c>
      <c r="F21" s="24">
        <v>4493</v>
      </c>
      <c r="G21" s="23">
        <v>3596</v>
      </c>
      <c r="H21" s="23">
        <v>5389</v>
      </c>
      <c r="I21" s="21">
        <v>7.2</v>
      </c>
      <c r="J21" s="12">
        <v>5.9</v>
      </c>
      <c r="K21" s="12">
        <v>8.6</v>
      </c>
      <c r="L21" s="12" t="s">
        <v>101</v>
      </c>
      <c r="M21" s="12"/>
    </row>
    <row r="22" spans="1:13" x14ac:dyDescent="0.4">
      <c r="A22" s="11">
        <v>15</v>
      </c>
      <c r="B22" s="9" t="s">
        <v>95</v>
      </c>
      <c r="C22" s="9" t="s">
        <v>117</v>
      </c>
      <c r="D22" s="9" t="s">
        <v>97</v>
      </c>
      <c r="E22" s="9" t="s">
        <v>98</v>
      </c>
      <c r="F22" s="24">
        <v>5536</v>
      </c>
      <c r="G22" s="23">
        <v>4383</v>
      </c>
      <c r="H22" s="23">
        <v>6690</v>
      </c>
      <c r="I22" s="21">
        <v>9.1</v>
      </c>
      <c r="J22" s="12">
        <v>7.3</v>
      </c>
      <c r="K22" s="12">
        <v>10.9</v>
      </c>
      <c r="L22" s="12" t="s">
        <v>101</v>
      </c>
      <c r="M22" s="12"/>
    </row>
    <row r="23" spans="1:13" x14ac:dyDescent="0.4">
      <c r="A23" s="11">
        <v>16</v>
      </c>
      <c r="B23" s="9" t="s">
        <v>95</v>
      </c>
      <c r="C23" s="9" t="s">
        <v>118</v>
      </c>
      <c r="D23" s="9" t="s">
        <v>97</v>
      </c>
      <c r="E23" s="9" t="s">
        <v>98</v>
      </c>
      <c r="F23" s="24">
        <v>3927</v>
      </c>
      <c r="G23" s="23">
        <v>3044</v>
      </c>
      <c r="H23" s="23">
        <v>4810</v>
      </c>
      <c r="I23" s="21">
        <v>7.1</v>
      </c>
      <c r="J23" s="12">
        <v>5.6</v>
      </c>
      <c r="K23" s="12">
        <v>8.6</v>
      </c>
      <c r="L23" s="12" t="s">
        <v>101</v>
      </c>
      <c r="M23" s="12"/>
    </row>
    <row r="24" spans="1:13" x14ac:dyDescent="0.4">
      <c r="A24" s="11">
        <v>17</v>
      </c>
      <c r="B24" s="9" t="s">
        <v>95</v>
      </c>
      <c r="C24" s="9" t="s">
        <v>119</v>
      </c>
      <c r="D24" s="9" t="s">
        <v>97</v>
      </c>
      <c r="E24" s="9" t="s">
        <v>98</v>
      </c>
      <c r="F24" s="24">
        <v>4662</v>
      </c>
      <c r="G24" s="23">
        <v>3372</v>
      </c>
      <c r="H24" s="23">
        <v>5952</v>
      </c>
      <c r="I24" s="21">
        <v>8</v>
      </c>
      <c r="J24" s="12">
        <v>5.9</v>
      </c>
      <c r="K24" s="12">
        <v>10.1</v>
      </c>
      <c r="L24" s="12" t="s">
        <v>101</v>
      </c>
      <c r="M24" s="12"/>
    </row>
    <row r="25" spans="1:13" x14ac:dyDescent="0.4">
      <c r="A25" s="11">
        <v>18</v>
      </c>
      <c r="B25" s="9" t="s">
        <v>95</v>
      </c>
      <c r="C25" s="9" t="s">
        <v>138</v>
      </c>
      <c r="D25" s="9" t="s">
        <v>97</v>
      </c>
      <c r="E25" s="9" t="s">
        <v>98</v>
      </c>
      <c r="F25" s="24">
        <v>6385</v>
      </c>
      <c r="G25" s="23">
        <v>4681</v>
      </c>
      <c r="H25" s="23">
        <v>8090</v>
      </c>
      <c r="I25" s="21">
        <v>9.1</v>
      </c>
      <c r="J25" s="12">
        <v>6.8</v>
      </c>
      <c r="K25" s="12">
        <v>11.5</v>
      </c>
      <c r="L25" s="12" t="s">
        <v>101</v>
      </c>
      <c r="M25" s="12"/>
    </row>
    <row r="26" spans="1:13" x14ac:dyDescent="0.4">
      <c r="A26" s="11">
        <v>19</v>
      </c>
      <c r="B26" s="9" t="s">
        <v>95</v>
      </c>
      <c r="C26" s="9" t="s">
        <v>139</v>
      </c>
      <c r="D26" s="9" t="s">
        <v>97</v>
      </c>
      <c r="E26" s="9" t="s">
        <v>98</v>
      </c>
      <c r="F26" s="24">
        <v>6012</v>
      </c>
      <c r="G26" s="23">
        <v>4419</v>
      </c>
      <c r="H26" s="23">
        <v>7606</v>
      </c>
      <c r="I26" s="21">
        <v>10.4</v>
      </c>
      <c r="J26" s="12">
        <v>7.9</v>
      </c>
      <c r="K26" s="12">
        <v>13</v>
      </c>
      <c r="L26" s="12" t="s">
        <v>101</v>
      </c>
      <c r="M26" s="12"/>
    </row>
    <row r="27" spans="1:13" x14ac:dyDescent="0.4">
      <c r="A27" s="11">
        <v>20</v>
      </c>
      <c r="B27" s="9" t="s">
        <v>95</v>
      </c>
      <c r="C27" s="9" t="s">
        <v>124</v>
      </c>
      <c r="D27" s="9" t="s">
        <v>97</v>
      </c>
      <c r="E27" s="9" t="s">
        <v>98</v>
      </c>
      <c r="F27" s="24">
        <v>3936</v>
      </c>
      <c r="G27" s="23">
        <v>2537</v>
      </c>
      <c r="H27" s="23">
        <v>5335</v>
      </c>
      <c r="I27" s="21">
        <v>6.8</v>
      </c>
      <c r="J27" s="12">
        <v>4.5999999999999996</v>
      </c>
      <c r="K27" s="12">
        <v>9.1</v>
      </c>
      <c r="L27" s="12" t="s">
        <v>104</v>
      </c>
      <c r="M27" s="12"/>
    </row>
    <row r="28" spans="1:13" x14ac:dyDescent="0.4">
      <c r="A28" s="11">
        <v>21</v>
      </c>
      <c r="B28" s="9" t="s">
        <v>95</v>
      </c>
      <c r="C28" s="9" t="s">
        <v>125</v>
      </c>
      <c r="D28" s="9" t="s">
        <v>97</v>
      </c>
      <c r="E28" s="9" t="s">
        <v>98</v>
      </c>
      <c r="F28" s="24">
        <v>4245</v>
      </c>
      <c r="G28" s="23">
        <v>2907</v>
      </c>
      <c r="H28" s="23">
        <v>5582</v>
      </c>
      <c r="I28" s="21">
        <v>6.9</v>
      </c>
      <c r="J28" s="12">
        <v>4.9000000000000004</v>
      </c>
      <c r="K28" s="12">
        <v>9</v>
      </c>
      <c r="L28" s="12" t="s">
        <v>101</v>
      </c>
      <c r="M28" s="12"/>
    </row>
    <row r="29" spans="1:13" x14ac:dyDescent="0.4">
      <c r="A29" s="11">
        <v>22</v>
      </c>
      <c r="B29" s="9" t="s">
        <v>95</v>
      </c>
      <c r="C29" s="9" t="s">
        <v>126</v>
      </c>
      <c r="D29" s="9" t="s">
        <v>97</v>
      </c>
      <c r="E29" s="9" t="s">
        <v>98</v>
      </c>
      <c r="F29" s="24">
        <v>4430</v>
      </c>
      <c r="G29" s="23">
        <v>2916</v>
      </c>
      <c r="H29" s="23">
        <v>5943</v>
      </c>
      <c r="I29" s="21">
        <v>6.5</v>
      </c>
      <c r="J29" s="12">
        <v>4.4000000000000004</v>
      </c>
      <c r="K29" s="12">
        <v>8.6999999999999993</v>
      </c>
      <c r="L29" s="12" t="s">
        <v>101</v>
      </c>
      <c r="M29" s="12"/>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8</vt:i4>
      </vt:variant>
    </vt:vector>
  </HeadingPairs>
  <TitlesOfParts>
    <vt:vector size="8" baseType="lpstr">
      <vt:lpstr>Cover_sheet</vt:lpstr>
      <vt:lpstr>Contents</vt:lpstr>
      <vt:lpstr>Notes</vt:lpstr>
      <vt:lpstr>Table-1</vt:lpstr>
      <vt:lpstr>Table-2</vt:lpstr>
      <vt:lpstr>Table-3</vt:lpstr>
      <vt:lpstr>Table-4</vt:lpstr>
      <vt:lpstr>Table-5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lfsinjsum</dc:title>
  <dc:creator>HSE</dc:creator>
  <cp:keywords>Labour Force Survey, LFS, self-reported, work-related, workplace, accident, injury, summary</cp:keywords>
  <cp:lastModifiedBy>Molly Marshall-Ridley</cp:lastModifiedBy>
  <dcterms:created xsi:type="dcterms:W3CDTF">2025-10-26T23:34:16Z</dcterms:created>
  <dcterms:modified xsi:type="dcterms:W3CDTF">2025-11-04T10:05:44Z</dcterms:modified>
</cp:coreProperties>
</file>